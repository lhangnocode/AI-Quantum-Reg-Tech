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arams" state="visible" r:id="rId5"/>
    <sheet sheetId="3" name="Companies" state="visible" r:id="rId6"/>
    <sheet sheetId="4" name="Financials" state="visible" r:id="rId7"/>
    <sheet sheetId="5" name="ZScore" state="visible" r:id="rId8"/>
    <sheet sheetId="6" name="Market" state="visible" r:id="rId9"/>
    <sheet sheetId="7" name="ESG" state="visible" r:id="rId10"/>
    <sheet sheetId="8" name="ESG_Evidence" state="visible" r:id="rId11"/>
    <sheet sheetId="9" name="OSINT" state="visible" r:id="rId12"/>
    <sheet sheetId="10" name="Portfolio" state="visible" r:id="rId13"/>
    <sheet sheetId="11" name="Portfolio_Summary" state="visible" r:id="rId14"/>
    <sheet sheetId="12" name="Scenarios" state="visible" r:id="rId15"/>
    <sheet sheetId="13" name="QUBO_Matrix" state="visible" r:id="rId16"/>
    <sheet sheetId="14" name="Private_Sample" state="visible" r:id="rId17"/>
    <sheet sheetId="15" name="ESG_ChiTieu" state="visible" r:id="rId18"/>
    <sheet sheetId="16" name="Cho_xac_nhan" state="visible" r:id="rId19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E1" authorId="0">
      <text>
        <r>
          <t>1 = niêm yết</t>
        </r>
      </text>
    </comment>
    <comment ref="F1" authorId="0">
      <text>
        <r>
          <t>Tháng kết thúc năm tài chính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" authorId="0">
      <text>
        <r>
          <t>Tài sản ngắn hạn (tỷ đồng)</t>
        </r>
      </text>
    </comment>
    <comment ref="E1" authorId="0">
      <text>
        <r>
          <t>Tổng tài sản (tỷ đồng)</t>
        </r>
      </text>
    </comment>
    <comment ref="F1" authorId="0">
      <text>
        <r>
          <t>Nợ ngắn hạn (tỷ đồng)</t>
        </r>
      </text>
    </comment>
    <comment ref="G1" authorId="0">
      <text>
        <r>
          <t>Tổng nợ phải trả (tỷ đồng)</t>
        </r>
      </text>
    </comment>
    <comment ref="H1" authorId="0">
      <text>
        <r>
          <t>LNST chưa phân phối (tỷ đồng)</t>
        </r>
      </text>
    </comment>
    <comment ref="I1" authorId="0">
      <text>
        <r>
          <t>Doanh thu thuần (tỷ đồng)</t>
        </r>
      </text>
    </comment>
    <comment ref="J1" authorId="0">
      <text>
        <r>
          <t>Lợi nhuận trước thuế (tỷ đồng)</t>
        </r>
      </text>
    </comment>
    <comment ref="K1" authorId="0">
      <text>
        <r>
          <t>Chi phí lãi vay (tỷ đồng)</t>
        </r>
      </text>
    </comment>
    <comment ref="L1" authorId="0">
      <text>
        <r>
          <t>Vốn hoá cuối năm (tỷ đồng)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" authorId="0">
      <text>
        <r>
          <t>(TSNH − Nợ NH) / TTS</t>
        </r>
      </text>
    </comment>
    <comment ref="E1" authorId="0">
      <text>
        <r>
          <t>LNST chưa PP / TTS</t>
        </r>
      </text>
    </comment>
    <comment ref="F1" authorId="0">
      <text>
        <r>
          <t>EBIT (LNTT + CP lãi vay) / TTS</t>
        </r>
      </text>
    </comment>
    <comment ref="G1" authorId="0">
      <text>
        <r>
          <t>Vốn hoá / Tổng nợ</t>
        </r>
      </text>
    </comment>
    <comment ref="H1" authorId="0">
      <text>
        <r>
          <t>Doanh thu thuần / TTS</t>
        </r>
      </text>
    </comment>
    <comment ref="I1" authorId="0">
      <text>
        <r>
          <t>Z = 1,2X1 + 1,4X2 + 3,3X3 + 0,6X4 + 1,0X5</t>
        </r>
      </text>
    </comment>
    <comment ref="J1" authorId="0">
      <text>
        <r>
          <t>Z công bố trong Phụ lục B – để đối chiếu (app không dùng)</t>
        </r>
      </text>
    </comment>
    <comment ref="K1" authorId="0">
      <text>
        <r>
          <t>safe | grey | distress – theo ngưỡng trong Params</t>
        </r>
      </text>
    </comment>
    <comment ref="L1" authorId="0">
      <text>
        <r>
          <t>RFin,Base theo vùng (Phụ lục B): Safe 0,10 · Distress 0,70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1" authorId="0">
      <text>
        <r>
          <t>β (suy từ CAPM – Phụ lục B)</t>
        </r>
      </text>
    </comment>
    <comment ref="C1" authorId="0">
      <text>
        <r>
          <t>Giá điều chỉnh phiên đầu năm 2025 (nghìn đồng)</t>
        </r>
      </text>
    </comment>
    <comment ref="D1" authorId="0">
      <text>
        <r>
          <t>Giá điều chỉnh phiên cuối năm 2025 (nghìn đồng)</t>
        </r>
      </text>
    </comment>
    <comment ref="E1" authorId="0">
      <text>
        <r>
          <t>Ri = Rf + β × ERP</t>
        </r>
      </text>
    </comment>
    <comment ref="F1" authorId="0">
      <text>
        <r>
          <t>Lợi nhuận thực tế 2025 = giá cuối / giá đầu − 1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1" authorId="0">
      <text>
        <r>
          <t>ESGi tổng hợp (0–1) – Phụ lục B</t>
        </r>
      </text>
    </comment>
    <comment ref="C1" authorId="0">
      <text>
        <r>
          <t>Điểm trụ cột 0–1 – cần tính bằng aq_v3.py từ sheet ESG_ChiTieu</t>
        </r>
      </text>
    </comment>
    <comment ref="D1" authorId="0">
      <text>
        <r>
          <t>Điểm trụ cột 0–1 – cần tính bằng aq_v3.py từ sheet ESG_ChiTieu</t>
        </r>
      </text>
    </comment>
    <comment ref="E1" authorId="0">
      <text>
        <r>
          <t>Điểm trụ cột 0–1 – cần tính bằng aq_v3.py từ sheet ESG_ChiTieu</t>
        </r>
      </text>
    </comment>
    <comment ref="F1" authorId="0">
      <text>
        <r>
          <t>Điểm trụ cột 0–1 – cần tính bằng aq_v3.py từ sheet ESG_ChiTieu</t>
        </r>
      </text>
    </comment>
    <comment ref="G1" authorId="0">
      <text>
        <r>
          <t>Điểm trụ cột 0–1 – cần tính bằng aq_v3.py từ sheet ESG_ChiTieu</t>
        </r>
      </text>
    </comment>
    <comment ref="H1" authorId="0">
      <text>
        <r>
          <t>low | medium | high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B1" authorId="0">
      <text>
        <r>
          <t>Trích dẫn tuyên bố của DN</t>
        </r>
      </text>
    </comment>
    <comment ref="D1" authorId="0">
      <text>
        <r>
          <t>Dữ liệu ngoại cảnh mâu thuẫn</t>
        </r>
      </text>
    </comment>
    <comment ref="G1" authorId="0">
      <text>
        <r>
          <t>Điểm mâu thuẫn 0–1 (NLP – mock)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D1" authorId="0">
      <text>
        <r>
          <t>1–12; TODO nếu nguồn chưa rõ tháng</t>
        </r>
      </text>
    </comment>
    <comment ref="E1" authorId="0">
      <text>
        <r>
          <t>tax | environment | securities | media</t>
        </r>
      </text>
    </comment>
    <comment ref="F1" authorId="0">
      <text>
        <r>
          <t>1 | 2 | 3</t>
        </r>
      </text>
    </comment>
    <comment ref="G1" authorId="0">
      <text>
        <r>
          <t>Điểm phạt POSINT (Mức 1 = 0,05 · Mức 2 = 0,10 · Mức 3 ≥ 0,20)</t>
        </r>
      </text>
    </comment>
    <comment ref="K1" authorId="0">
      <text>
        <r>
          <t>1 = đang hiệu lực (tính vào POSINT)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1" authorId="0">
      <text>
        <r>
          <t>Tỷ trọng tối ưu mô hình ESG-aware (Phụ lục B)</t>
        </r>
      </text>
    </comment>
    <comment ref="C1" authorId="0">
      <text>
        <r>
          <t>Tỷ trọng Baseline Markowitz (Phụ lục B)</t>
        </r>
      </text>
    </comment>
    <comment ref="D1" authorId="0">
      <text>
        <r>
          <t>Tra từ Market</t>
        </r>
      </text>
    </comment>
    <comment ref="E1" authorId="0">
      <text>
        <r>
          <t>Tra từ Market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B1" authorId="0">
      <text>
        <r>
          <t>Σ wᵢ × Rᵢ</t>
        </r>
      </text>
    </comment>
    <comment ref="C1" authorId="0">
      <text>
        <r>
          <t>Σ wᵢ × lợi nhuận thực tế</t>
        </r>
      </text>
    </comment>
    <comment ref="D1" authorId="0">
      <text>
        <r>
          <t>Phải = 100%</t>
        </r>
      </text>
    </comment>
    <comment ref="E1" authorId="0">
      <text>
        <r>
          <t>Số công bố Phụ lục B – đối chiếu</t>
        </r>
      </text>
    </comment>
    <comment ref="F1" authorId="0">
      <text>
        <r>
          <t>Số công bố Phụ lục B – đối chiếu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F1" authorId="0">
      <text>
        <r>
          <t>Tỷ trọng VNM</t>
        </r>
      </text>
    </comment>
    <comment ref="G1" authorId="0">
      <text>
        <r>
          <t>Tỷ trọng SAB</t>
        </r>
      </text>
    </comment>
    <comment ref="H1" authorId="0">
      <text>
        <r>
          <t>Tỷ trọng MCM</t>
        </r>
      </text>
    </comment>
    <comment ref="I1" authorId="0">
      <text>
        <r>
          <t>Tỷ trọng SBT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E1" authorId="0">
      <text>
        <r>
          <t>0 = chỉ tiêu bị loại</t>
        </r>
      </text>
    </comment>
  </commentList>
</comments>
</file>

<file path=xl/sharedStrings.xml><?xml version="1.0" encoding="utf-8"?>
<sst xmlns="http://schemas.openxmlformats.org/spreadsheetml/2006/main" count="522" uniqueCount="294">
  <si>
    <t>QuantumRegTech – FILE DỮ LIỆU CHO UI (nguồn dữ liệu duy nhất của app)</t>
  </si>
  <si>
    <t/>
  </si>
  <si>
    <t>• App KHÔNG đọc file này lúc chạy. Script `npm run data` (tự chạy trước dev / build / test) chuyển file này → src/data/*.json.</t>
  </si>
  <si>
    <t>• Không đổi tên sheet và tên cột ở dòng 1 (script đọc theo tên). Rê chuột vào ô tiêu đề để xem giải thích cột.</t>
  </si>
  <si>
    <t>• Ô NỀN VÀNG ghi 'TODO' = chưa có số liệu → UI hiển thị '—'. KHÔNG điền số ước lượng.</t>
  </si>
  <si>
    <t>• Ô NỀN XÁM = công thức (tự tính). Sửa số đầu vào ở Financials / Market / Params, không sửa ô công thức.</t>
  </si>
  <si>
    <t>• Sau khi sửa: lưu file bằng Excel / LibreOffice (để lưu kết quả công thức), rồi chạy `npm run data` và `npm test`.</t>
  </si>
  <si>
    <t>NGUỒN SỐ LIỆU</t>
  </si>
  <si>
    <t>• Số liệu chuẩn: Phụ lục B – Hồ sơ Vòng 1 (trước đây ghi trong docs/MOCK_DATA.md): Ri, β, Z, vùng, RFin, POSINT, ESGi, tỷ trọng, lợi nhuận.</t>
  </si>
  <si>
    <t>• Bổ sung từ AQ_Input.xlsx (file nhập liệu v3 của nhóm tài chính – đã dùng xong, không còn trong repo; bản gốc do nhóm tài chính giữ): Financials 2024 → X1–X5, giá 2025 (Market), sàn MCM, tên/phân ngành, TH cho Cổng 2, chỉ tiêu ESG thô.</t>
  </si>
  <si>
    <t>• Z tính lại từ BCTC 2024 khớp Phụ lục B (VNM 6,18 · SAB 6,51 · MCM 6,90 · SBT 1,80); lợi nhuận thực tế tính từ giá 2025 khớp Phụ lục B.</t>
  </si>
  <si>
    <t>CÁC SHEET</t>
  </si>
  <si>
    <t>Params – tham số chung · Companies – thông tin DN · Financials – BCTC 2024 (tỷ đồng) · ZScore – X1–X5, Z, vùng (công thức) · Market – β, giá, Ri, lợi nhuận thực tế</t>
  </si>
  <si>
    <t>ESG – điểm ESGi &amp; trụ cột · ESG_Evidence – bằng chứng tẩy xanh · OSINT – sự kiện · Portfolio – tỷ trọng · Portfolio_Summary – lợi nhuận danh mục · Scenarios – kịch bản slider</t>
  </si>
  <si>
    <t>QUBO_Matrix – ma trận Q (để trống) · Private_Sample – kết quả mẫu Cổng 2 · ESG_ChiTieu – chỉ tiêu ESG thô 2024 (tham khảo, app chưa đọc) · Cho_xac_nhan – việc cần nhóm quyết định</t>
  </si>
  <si>
    <t>key</t>
  </si>
  <si>
    <t>value</t>
  </si>
  <si>
    <t>note</t>
  </si>
  <si>
    <t>source</t>
  </si>
  <si>
    <t>rf</t>
  </si>
  <si>
    <t>Lãi suất phi rủi ro</t>
  </si>
  <si>
    <t>TPCP 10 năm – VIS Rating</t>
  </si>
  <si>
    <t>erp</t>
  </si>
  <si>
    <t>Phần bù rủi ro vốn cổ phần</t>
  </si>
  <si>
    <t>Damodaran – NYU Stern 2025</t>
  </si>
  <si>
    <t>capm_formula</t>
  </si>
  <si>
    <t>Ri = Rf + βi × ERP</t>
  </si>
  <si>
    <t>Công thức hiển thị trong báo cáo</t>
  </si>
  <si>
    <t>altman_formula</t>
  </si>
  <si>
    <t>Z = 1,2X1 + 1,4X2 + 3,3X3 + 0,6X4 + 1,0X5</t>
  </si>
  <si>
    <t>Altman Z gốc – DN niêm yết</t>
  </si>
  <si>
    <t>z_safe</t>
  </si>
  <si>
    <t>Z &gt; ngưỡng này → Safe</t>
  </si>
  <si>
    <t>z_distress</t>
  </si>
  <si>
    <t>Z &lt; ngưỡng này → Distress; ở giữa → Grey</t>
  </si>
  <si>
    <t>zp_safe</t>
  </si>
  <si>
    <t>Z' (DN chưa niêm yết, Altman 1983) – cần nhóm xác nhận</t>
  </si>
  <si>
    <t>zp_distress</t>
  </si>
  <si>
    <t>posint_l1</t>
  </si>
  <si>
    <t>Điểm phạt OSINT mức 1</t>
  </si>
  <si>
    <t>posint_l2</t>
  </si>
  <si>
    <t>Điểm phạt OSINT mức 2</t>
  </si>
  <si>
    <t>posint_l3</t>
  </si>
  <si>
    <t>Điểm phạt OSINT mức 3 (tối thiểu)</t>
  </si>
  <si>
    <t>min_weight</t>
  </si>
  <si>
    <t>Ràng buộc tỷ trọng tối thiểu</t>
  </si>
  <si>
    <t>max_weight</t>
  </si>
  <si>
    <t>Ràng buộc tỷ trọng tối đa</t>
  </si>
  <si>
    <t>capital_vnd</t>
  </si>
  <si>
    <t>Vốn mô phỏng (VNĐ)</t>
  </si>
  <si>
    <t>solver</t>
  </si>
  <si>
    <t>classical-cobyla</t>
  </si>
  <si>
    <t>classical-cobyla | qaoa</t>
  </si>
  <si>
    <t>alpha</t>
  </si>
  <si>
    <t>TODO</t>
  </si>
  <si>
    <t>Trọng số lợi nhuận – lấy từ code Python</t>
  </si>
  <si>
    <t>beta</t>
  </si>
  <si>
    <t>Trọng số rủi ro biến động – lấy từ code Python</t>
  </si>
  <si>
    <t>gamma</t>
  </si>
  <si>
    <t>Trọng số ESG – lấy từ code Python</t>
  </si>
  <si>
    <t>delta</t>
  </si>
  <si>
    <t>Trọng số phạt rủi ro – lấy từ code Python</t>
  </si>
  <si>
    <t>qubo_bits_per_asset</t>
  </si>
  <si>
    <t>Số bit rời rạc / tài sản</t>
  </si>
  <si>
    <t>qubo_num_qubits</t>
  </si>
  <si>
    <t>Số qubit</t>
  </si>
  <si>
    <t>data_source</t>
  </si>
  <si>
    <t>Phụ lục B – Hồ sơ Vòng 1; bổ sung AQ_Input.xlsx (BCTC 2024, giá 2025)</t>
  </si>
  <si>
    <t>Hiển thị ở báo cáo</t>
  </si>
  <si>
    <t>ticker</t>
  </si>
  <si>
    <t>name</t>
  </si>
  <si>
    <t>exchange</t>
  </si>
  <si>
    <t>subsector</t>
  </si>
  <si>
    <t>listed</t>
  </si>
  <si>
    <t>fy_end_month</t>
  </si>
  <si>
    <t>VNM</t>
  </si>
  <si>
    <t>CTCP Sữa Việt Nam</t>
  </si>
  <si>
    <t>HOSE</t>
  </si>
  <si>
    <t>Sữa</t>
  </si>
  <si>
    <t>SAB</t>
  </si>
  <si>
    <t>Tổng CTCP Bia - Rượu - Nước giải khát Sài Gòn</t>
  </si>
  <si>
    <t>Bia/NGK</t>
  </si>
  <si>
    <t>MCM</t>
  </si>
  <si>
    <t>CTCP Giống bò sữa Mộc Châu</t>
  </si>
  <si>
    <t>Sàn: theo AQ_Input</t>
  </si>
  <si>
    <t>SBT</t>
  </si>
  <si>
    <t>CTCP Thành Thành Công – Biên Hòa (TTC AgriS)</t>
  </si>
  <si>
    <t>Đường</t>
  </si>
  <si>
    <t>Niên độ 1/7–30/6</t>
  </si>
  <si>
    <t>fiscal_year</t>
  </si>
  <si>
    <t>period_note</t>
  </si>
  <si>
    <t>CA</t>
  </si>
  <si>
    <t>TA</t>
  </si>
  <si>
    <t>CL</t>
  </si>
  <si>
    <t>TL</t>
  </si>
  <si>
    <t>RE</t>
  </si>
  <si>
    <t>Revenue</t>
  </si>
  <si>
    <t>PBT</t>
  </si>
  <si>
    <t>Interest</t>
  </si>
  <si>
    <t>MktCap</t>
  </si>
  <si>
    <t>Năm 2024</t>
  </si>
  <si>
    <t>AQ_Input.xlsx – Financials (BCTC hợp nhất 2024)</t>
  </si>
  <si>
    <t>Niên độ 2023–2024 (kết thúc 30/6/2024) – kiểm tra lại</t>
  </si>
  <si>
    <t>model</t>
  </si>
  <si>
    <t>x1</t>
  </si>
  <si>
    <t>x2</t>
  </si>
  <si>
    <t>x3</t>
  </si>
  <si>
    <t>x4</t>
  </si>
  <si>
    <t>x5</t>
  </si>
  <si>
    <t>z</t>
  </si>
  <si>
    <t>z_appendix</t>
  </si>
  <si>
    <t>zone</t>
  </si>
  <si>
    <t>rfin_base</t>
  </si>
  <si>
    <t>Z</t>
  </si>
  <si>
    <t>price_start_next</t>
  </si>
  <si>
    <t>price_end_next</t>
  </si>
  <si>
    <t>expected_return</t>
  </si>
  <si>
    <t>realized_return</t>
  </si>
  <si>
    <t>β: Phụ lục B · giá: AQ_Input.xlsx – Market</t>
  </si>
  <si>
    <t>esg_score</t>
  </si>
  <si>
    <t>E</t>
  </si>
  <si>
    <t>S</t>
  </si>
  <si>
    <t>G</t>
  </si>
  <si>
    <t>transparency</t>
  </si>
  <si>
    <t>compliance</t>
  </si>
  <si>
    <t>greenwashing_risk</t>
  </si>
  <si>
    <t>high</t>
  </si>
  <si>
    <t>claim</t>
  </si>
  <si>
    <t>claim_source</t>
  </si>
  <si>
    <t>counter</t>
  </si>
  <si>
    <t>counter_source</t>
  </si>
  <si>
    <t>counter_url</t>
  </si>
  <si>
    <t>contradiction</t>
  </si>
  <si>
    <t>taxonomy_ref</t>
  </si>
  <si>
    <t>Nguy cơ ô nhiễm môi trường từ hoạt động chăn nuôi bò sữa</t>
  </si>
  <si>
    <t>Tạp chí Môi trường và Xây dựng (2022)</t>
  </si>
  <si>
    <t>https://moitruongxaydungvn.vn/nguy-co-o-nhiem-moi-truong-tu-cong-ty-co-phan-giong-bo-sua-moc-chau</t>
  </si>
  <si>
    <t>id</t>
  </si>
  <si>
    <t>year</t>
  </si>
  <si>
    <t>month</t>
  </si>
  <si>
    <t>type</t>
  </si>
  <si>
    <t>severity</t>
  </si>
  <si>
    <t>penalty</t>
  </si>
  <si>
    <t>title</t>
  </si>
  <si>
    <t>url</t>
  </si>
  <si>
    <t>active</t>
  </si>
  <si>
    <t>evt-mcm-2022-01</t>
  </si>
  <si>
    <t>environment</t>
  </si>
  <si>
    <t>Báo chí phản ánh nguy cơ ô nhiễm môi trường</t>
  </si>
  <si>
    <t>Tạp chí Môi trường và Xây dựng</t>
  </si>
  <si>
    <t>AQ_Input: 'Phản ánh môi trường (chưa có QĐ)'. Phụ lục B ghi 'Phạt xả thải' – xem Cho_xac_nhan</t>
  </si>
  <si>
    <t>w_esg_aware</t>
  </si>
  <si>
    <t>w_baseline</t>
  </si>
  <si>
    <t>scenario</t>
  </si>
  <si>
    <t>weight_sum</t>
  </si>
  <si>
    <t>appendix_expected</t>
  </si>
  <si>
    <t>appendix_realized</t>
  </si>
  <si>
    <t>esg_aware</t>
  </si>
  <si>
    <t>baseline</t>
  </si>
  <si>
    <t>scenario_id</t>
  </si>
  <si>
    <t>s1</t>
  </si>
  <si>
    <t>= Baseline</t>
  </si>
  <si>
    <t>s2</t>
  </si>
  <si>
    <t>= ESG-aware</t>
  </si>
  <si>
    <t>Dán ma trận Q 16×16 (số) vào vùng B3:Q18, hàng/cột q0…q15. Để trống = chưa có (UI hiện trạng thái rỗng).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</si>
  <si>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</si>
  <si>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</si>
  <si>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</si>
  <si>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</si>
  <si>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</si>
  <si>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</si>
  <si>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</si>
  <si>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</si>
  <si>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</si>
  <si>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</si>
  <si>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</si>
  <si>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</si>
  <si>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</si>
  <si>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</si>
  <si>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</si>
  <si>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</si>
  <si>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company_name</t>
  </si>
  <si>
    <t>CTCP Chuỗi Sữa TH</t>
  </si>
  <si>
    <t>AQ_Input: TH chưa niêm yết – dùng cho nhóm so sánh ESG + Cổng 2</t>
  </si>
  <si>
    <t>z_model</t>
  </si>
  <si>
    <t>Z'</t>
  </si>
  <si>
    <t>Altman Z' cho DN chưa niêm yết</t>
  </si>
  <si>
    <t>AQ_Input chưa có BCTC của TH</t>
  </si>
  <si>
    <t>safe | grey | distress</t>
  </si>
  <si>
    <t>Có chỉ tiêu ESG thô của TH trong ESG_ChiTieu</t>
  </si>
  <si>
    <t>posint</t>
  </si>
  <si>
    <t>Sự kiện TH 2023 chưa xác minh pháp nhân – xem Cho_xac_nhan</t>
  </si>
  <si>
    <t>code</t>
  </si>
  <si>
    <t>pol</t>
  </si>
  <si>
    <t>use</t>
  </si>
  <si>
    <t>TH</t>
  </si>
  <si>
    <t>E_01</t>
  </si>
  <si>
    <t>Tổng phát thải khí nhà kính Scope 1 &amp; 2 (tấn CO2e)</t>
  </si>
  <si>
    <t>Num</t>
  </si>
  <si>
    <t>(-)</t>
  </si>
  <si>
    <t>E_02</t>
  </si>
  <si>
    <t>Cường độ phát thải (tấn CO2e/tỷ đồng doanh thu)</t>
  </si>
  <si>
    <t>E_03</t>
  </si>
  <si>
    <t>Chính sách/Cam kết giảm phát thải (Net Zero)</t>
  </si>
  <si>
    <t>Bool</t>
  </si>
  <si>
    <t>(+)</t>
  </si>
  <si>
    <t>E_04</t>
  </si>
  <si>
    <t>Chứng nhận Trung hòa Carbon (PAS 2060)</t>
  </si>
  <si>
    <t>E_05</t>
  </si>
  <si>
    <t>Hệ thống quản lý môi trường (ISO 14001)</t>
  </si>
  <si>
    <t>E_06</t>
  </si>
  <si>
    <t>Tổng lượng nước tiêu thụ (m3) – code tự chia doanh thu</t>
  </si>
  <si>
    <t>E_07</t>
  </si>
  <si>
    <t>Tỷ lệ nước tái sử dụng/tuần hoàn (%)</t>
  </si>
  <si>
    <t>E_08</t>
  </si>
  <si>
    <t>Tổng năng lượng tiêu thụ (GJ) – code tự chia doanh thu</t>
  </si>
  <si>
    <t>E_09</t>
  </si>
  <si>
    <t>Tỷ lệ năng lượng tái tạo (%)</t>
  </si>
  <si>
    <t>E_10</t>
  </si>
  <si>
    <t>Chính sách quản lý chất thải/bao bì nhựa</t>
  </si>
  <si>
    <t>E_11</t>
  </si>
  <si>
    <t>Chi đầu tư cho R&amp;D/Công nghệ xanh (VND)</t>
  </si>
  <si>
    <t>E_12</t>
  </si>
  <si>
    <t>Sản phẩm đạt chuẩn Organic/Green</t>
  </si>
  <si>
    <t>S_01</t>
  </si>
  <si>
    <t>Tổng số nhân viên (Quy mô lao động)</t>
  </si>
  <si>
    <t>S_02</t>
  </si>
  <si>
    <t>Tỷ lệ nữ giới trong ban quản lý cấp cao ( ban điều hành) (%)</t>
  </si>
  <si>
    <t>S_03</t>
  </si>
  <si>
    <t>Số giờ đào tạo trung bình/nhân viên</t>
  </si>
  <si>
    <t>S_04</t>
  </si>
  <si>
    <t>Có công bố tỷ lệ thôi việc (Turnover rate)</t>
  </si>
  <si>
    <t>S_05</t>
  </si>
  <si>
    <t xml:space="preserve">Hoạt động, chính sách, chi phí đầu tư và sự tuân thủ cho sự an toàn của lao động </t>
  </si>
  <si>
    <t>S_06</t>
  </si>
  <si>
    <t xml:space="preserve">Công bố về tai nạn lao động </t>
  </si>
  <si>
    <t>S_07</t>
  </si>
  <si>
    <t>Chính sách an toàn sức khỏe nghề nghiệp (ISO 45001)</t>
  </si>
  <si>
    <t>S_08</t>
  </si>
  <si>
    <t>Có các chương trình Cộng đồng Chiến lược</t>
  </si>
  <si>
    <t>S_09</t>
  </si>
  <si>
    <t>Tổng ngân sách đóng góp xã hội (tỷ đồng) – code tự chia doanh thu</t>
  </si>
  <si>
    <t>S_10</t>
  </si>
  <si>
    <t>Chính sách chống lao động trẻ em/cưỡng bức</t>
  </si>
  <si>
    <t>S_11</t>
  </si>
  <si>
    <t>Chính sách đa dạng và bình đẳng (D&amp;I)</t>
  </si>
  <si>
    <t>S_12</t>
  </si>
  <si>
    <t>Chứng nhận ATTP (FSSC 22000/HACCP/ISO 22000)</t>
  </si>
  <si>
    <t>S_13</t>
  </si>
  <si>
    <t>Bảo mật thông tin khách hàng/An ninh mạng</t>
  </si>
  <si>
    <t>G_01</t>
  </si>
  <si>
    <t>Quy mô Hội đồng quản trị (HĐQT)</t>
  </si>
  <si>
    <t>G_02</t>
  </si>
  <si>
    <t>Tỷ lệ thành viên HĐQT độc lập (%)</t>
  </si>
  <si>
    <t>G_03</t>
  </si>
  <si>
    <t>Tách biệt vai trò Chủ tịch và Tổng giám đốc</t>
  </si>
  <si>
    <t>G_04</t>
  </si>
  <si>
    <t>Tỷ lệ nữ giới trong HĐQT</t>
  </si>
  <si>
    <t>G_05</t>
  </si>
  <si>
    <t>Có Tiểu ban/Ban phụ trách PTBV trực thuộc HĐQT hoặc Ban điều hành</t>
  </si>
  <si>
    <t>G_06</t>
  </si>
  <si>
    <t>Báo cáo PTBV được kiểm toán/đảm bảo độc lập</t>
  </si>
  <si>
    <t>G_07</t>
  </si>
  <si>
    <t>Doanh nghiệp có công bố Báo cáo tài chính theo chuẩn IFRS</t>
  </si>
  <si>
    <t>topic</t>
  </si>
  <si>
    <t>issue</t>
  </si>
  <si>
    <t>decision</t>
  </si>
  <si>
    <t>status</t>
  </si>
  <si>
    <t>Phiên bản mô hình</t>
  </si>
  <si>
    <t>AQ_Input v3 dùng Z''-EM (ngưỡng 2,6 / 1,1), sàn 5%, trần 40%, γ = 0,04, δ = 0,1 – khác Phụ lục B (Z gốc 2,99 / 1,81; 15–55%).</t>
  </si>
  <si>
    <t>GIỮ Phụ lục B. Mọi số công bố (tỷ trọng, lợi nhuận, +4,11 điểm %) được tính theo mô hình này và đã kiểm chứng lại từ BCTC/giá; ngưỡng 2,6 / 1,1 thuộc công thức Z''-EM nên không áp được cho Z gốc; v3 chưa đủ dữ liệu (MCH, năm 2023) và chưa có kết quả tối ưu. Chuyển sang v3 (nếu có ở Vòng 2) phải làm trọn gói: công thức, ngưỡng, ràng buộc, tỷ trọng, kết quả.</t>
  </si>
  <si>
    <t>Đã quyết</t>
  </si>
  <si>
    <t>OSINT MCM 2022</t>
  </si>
  <si>
    <t>Phụ lục B: 'Phạt xả thải môi trường'; AQ_Input: 'Phản ánh môi trường (chưa có QĐ)'.</t>
  </si>
  <si>
    <t>DÙNG mô tả AQ_Input ('Báo chí phản ánh nguy cơ ô nhiễm môi trường'), GIỮ penalty 0,10. AQ_Input là nguồn mới và cụ thể hơn, nói rõ chưa có quyết định xử phạt; ghi 'bị phạt' về một DN thật khi không có QĐ là sai sự thật. Rubric AQ_Input cũng chấm 'phản ánh chưa có QĐ' = 0,10 nên POSINT, RFin,Total và kết quả danh mục không đổi. Việc còn lại: bổ sung tháng + sửa lời thuyết minh/slide 'phạt xả thải'.</t>
  </si>
  <si>
    <t>OSINT SAB 2024</t>
  </si>
  <si>
    <t>Sự kiện 'Phạt VPHC thủ tục/sắc thuế' chưa có số QĐ + link.</t>
  </si>
  <si>
    <t>KHÔNG đưa vào dữ liệu. Chính quy tắc của AQ_Input: 'OSINT chỉ ghi sự kiện CÓ NGUỒN (link/số QĐ)'. Giữ POSINT SAB = 0 như Phụ lục B. Khi có nguồn: thêm dòng OSINT (mức 1, +0,05 → RFin,Total SAB = 0,15) và chạy lại tối ưu vì tỷ trọng sẽ đổi.</t>
  </si>
  <si>
    <t>OSINT TH 2023</t>
  </si>
  <si>
    <t>'Trang trại bò sữa TH (Phú Yên) bị phạt 560 triệu đồng' – nguồn ghi 'xác minh pháp nhân'.</t>
  </si>
  <si>
    <t>KHÔNG đưa vào Private_Sample. Chưa xác minh được đúng pháp nhân bị phạt; cùng quy tắc 'chỉ ghi sự kiện có nguồn xác thực'. Khi xác minh xong thì thêm vào Private_Sample.</t>
  </si>
  <si>
    <t>Điểm trụ cột ESG</t>
  </si>
  <si>
    <t>E, S, G, Minh bạch, Tuân thủ chưa có.</t>
  </si>
  <si>
    <t>ĐỂ TRỐNG (TODO). Tự chấm điểm = tự đặt phương pháp; điểm tự tính sẽ không khớp ESGi đã công bố (radar mâu thuẫn con số tổng); 'Minh bạch', 'Tuân thủ' không có nhóm chỉ tiêu riêng trong AQ_Input. Khi có aq_v3.py: chạy trên sheet ESG_ChiTieu (w_E 0,4 · w_S 0,35 · w_G 0,25) rồi điền vào sheet ESG.</t>
  </si>
  <si>
    <t>β SBT</t>
  </si>
  <si>
    <t>Phụ lục B: 0,761; AQ_Input Market: 0,76.</t>
  </si>
  <si>
    <t>GIỮ 0,761. 0,76 là số làm tròn; 0,761 cho Ri = 9,12% khớp Phụ lục B.</t>
  </si>
  <si>
    <t>SBT niên độ</t>
  </si>
  <si>
    <t>BCTC dùng niên độ kết thúc 30/6/2024 (AQ_Input ghi 'kiểm tra lại').</t>
  </si>
  <si>
    <t>Nhóm tài chính xác nhận lại với BCTC kiểm toán.</t>
  </si>
  <si>
    <t>Mở</t>
  </si>
  <si>
    <t>Tham số α β γ δ, QUBO, kịch bản</t>
  </si>
  <si>
    <t>Chưa có trong hồ sơ.</t>
  </si>
  <si>
    <t>IT lấy từ code Python: α β γ δ vào Params, ma trận Q 16×16 vào QUBO_Matrix, thêm 10–20 kịch bản vào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</si>
</sst>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0" xfId="0" applyFill="1"/>
    <xf numFmtId="4" fontId="0" fillId="0" borderId="0" xfId="0" applyNumberFormat="1"/>
    <xf numFmtId="4" fontId="3" fillId="2" borderId="0" xfId="0" applyNumberFormat="1" applyFont="1" applyFill="1"/>
    <xf numFmtId="164" fontId="0" fillId="0" borderId="0" xfId="0" applyNumberFormat="1"/>
    <xf numFmtId="2" fontId="0" fillId="0" borderId="0" xfId="0" applyNumberFormat="1"/>
    <xf numFmtId="164" fontId="3" fillId="2" borderId="0" xfId="0" applyNumberFormat="1" applyFont="1" applyFill="1"/>
    <xf numFmtId="2" fontId="3" fillId="2" borderId="0" xfId="0" applyNumberFormat="1" applyFont="1" applyFill="1"/>
    <xf numFmtId="164" fontId="0" fillId="4" borderId="0" xfId="0" applyNumberFormat="1" applyFill="1"/>
    <xf numFmtId="2" fontId="0" fillId="4" borderId="0" xfId="0" applyNumberFormat="1" applyFill="1"/>
    <xf numFmtId="0" fontId="0" fillId="4" borderId="0" xfId="0" applyFill="1"/>
    <xf numFmtId="165" fontId="0" fillId="0" borderId="0" xfId="0" applyNumberFormat="1"/>
    <xf numFmtId="10" fontId="0" fillId="0" borderId="0" xfId="0" applyNumberFormat="1"/>
    <xf numFmtId="165" fontId="3" fillId="2" borderId="0" xfId="0" applyNumberFormat="1" applyFont="1" applyFill="1"/>
    <xf numFmtId="10" fontId="3" fillId="2" borderId="0" xfId="0" applyNumberFormat="1" applyFont="1" applyFill="1"/>
    <xf numFmtId="10" fontId="0" fillId="4" borderId="0" xfId="0" applyNumberFormat="1" applyFill="1"/>
    <xf numFmtId="166" fontId="0" fillId="0" borderId="0" xfId="0" applyNumberFormat="1"/>
    <xf numFmtId="166" fontId="3" fillId="2" borderId="0" xfId="0" applyNumberFormat="1" applyFont="1" applyFill="1"/>
    <xf numFmtId="166" fontId="0" fillId="4" borderId="0" xfId="0" applyNumberFormat="1" applyFill="1"/>
    <xf numFmtId="0" fontId="4" fillId="0" borderId="0" xfId="0" applyFont="1"/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A17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s="2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s="2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D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4" customWidth="1"/>
    <col min="3" max="3" width="60" customWidth="1"/>
    <col min="4" max="4" width="40" customWidth="1"/>
  </cols>
  <sheetData>
    <row r="1" spans="1:4" x14ac:dyDescent="0.25">
      <c r="A1" s="3" t="s">
        <v>15</v>
      </c>
      <c r="B1" s="3" t="s">
        <v>16</v>
      </c>
      <c r="C1" s="3" t="s">
        <v>17</v>
      </c>
      <c r="D1" s="3" t="s">
        <v>18</v>
      </c>
    </row>
    <row r="2" spans="1:4" x14ac:dyDescent="0.25">
      <c r="A2" t="s">
        <v>19</v>
      </c>
      <c r="B2">
        <v>0.0277</v>
      </c>
      <c r="C2" t="s">
        <v>20</v>
      </c>
      <c r="D2" t="s">
        <v>21</v>
      </c>
    </row>
    <row r="3" spans="1:4" x14ac:dyDescent="0.25">
      <c r="A3" t="s">
        <v>22</v>
      </c>
      <c r="B3">
        <v>0.0835</v>
      </c>
      <c r="C3" t="s">
        <v>23</v>
      </c>
      <c r="D3" t="s">
        <v>24</v>
      </c>
    </row>
    <row r="4" spans="1:3" x14ac:dyDescent="0.25">
      <c r="A4" t="s">
        <v>25</v>
      </c>
      <c r="B4" t="s">
        <v>26</v>
      </c>
      <c r="C4" t="s">
        <v>27</v>
      </c>
    </row>
    <row r="5" spans="1:3" x14ac:dyDescent="0.25">
      <c r="A5" t="s">
        <v>28</v>
      </c>
      <c r="B5" t="s">
        <v>29</v>
      </c>
      <c r="C5" t="s">
        <v>30</v>
      </c>
    </row>
    <row r="6" spans="1:3" x14ac:dyDescent="0.25">
      <c r="A6" t="s">
        <v>31</v>
      </c>
      <c r="B6">
        <v>2.99</v>
      </c>
      <c r="C6" t="s">
        <v>32</v>
      </c>
    </row>
    <row r="7" spans="1:3" x14ac:dyDescent="0.25">
      <c r="A7" t="s">
        <v>33</v>
      </c>
      <c r="B7">
        <v>1.81</v>
      </c>
      <c r="C7" t="s">
        <v>34</v>
      </c>
    </row>
    <row r="8" spans="1:3" x14ac:dyDescent="0.25">
      <c r="A8" t="s">
        <v>35</v>
      </c>
      <c r="B8">
        <v>2.9</v>
      </c>
      <c r="C8" t="s">
        <v>36</v>
      </c>
    </row>
    <row r="9" spans="1:3" x14ac:dyDescent="0.25">
      <c r="A9" t="s">
        <v>37</v>
      </c>
      <c r="B9">
        <v>1.23</v>
      </c>
      <c r="C9" t="s">
        <v>36</v>
      </c>
    </row>
    <row r="10" spans="1:3" x14ac:dyDescent="0.25">
      <c r="A10" t="s">
        <v>38</v>
      </c>
      <c r="B10">
        <v>0.05</v>
      </c>
      <c r="C10" t="s">
        <v>39</v>
      </c>
    </row>
    <row r="11" spans="1:3" x14ac:dyDescent="0.25">
      <c r="A11" t="s">
        <v>40</v>
      </c>
      <c r="B11">
        <v>0.1</v>
      </c>
      <c r="C11" t="s">
        <v>41</v>
      </c>
    </row>
    <row r="12" spans="1:3" x14ac:dyDescent="0.25">
      <c r="A12" t="s">
        <v>42</v>
      </c>
      <c r="B12">
        <v>0.2</v>
      </c>
      <c r="C12" t="s">
        <v>43</v>
      </c>
    </row>
    <row r="13" spans="1:3" x14ac:dyDescent="0.25">
      <c r="A13" t="s">
        <v>44</v>
      </c>
      <c r="B13">
        <v>0.15</v>
      </c>
      <c r="C13" t="s">
        <v>45</v>
      </c>
    </row>
    <row r="14" spans="1:3" x14ac:dyDescent="0.25">
      <c r="A14" t="s">
        <v>46</v>
      </c>
      <c r="B14">
        <v>0.55</v>
      </c>
      <c r="C14" t="s">
        <v>47</v>
      </c>
    </row>
    <row r="15" spans="1:3" x14ac:dyDescent="0.25">
      <c r="A15" t="s">
        <v>48</v>
      </c>
      <c r="B15">
        <v>100000000000</v>
      </c>
      <c r="C15" t="s">
        <v>49</v>
      </c>
    </row>
    <row r="16" spans="1:3" x14ac:dyDescent="0.25">
      <c r="A16" t="s">
        <v>50</v>
      </c>
      <c r="B16" t="s">
        <v>51</v>
      </c>
      <c r="C16" t="s">
        <v>52</v>
      </c>
    </row>
    <row r="17" spans="1:3" x14ac:dyDescent="0.25">
      <c r="A17" t="s">
        <v>53</v>
      </c>
      <c r="B17" s="4" t="s">
        <v>54</v>
      </c>
      <c r="C17" t="s">
        <v>55</v>
      </c>
    </row>
    <row r="18" spans="1:3" x14ac:dyDescent="0.25">
      <c r="A18" t="s">
        <v>56</v>
      </c>
      <c r="B18" s="4" t="s">
        <v>54</v>
      </c>
      <c r="C18" t="s">
        <v>57</v>
      </c>
    </row>
    <row r="19" spans="1:3" x14ac:dyDescent="0.25">
      <c r="A19" t="s">
        <v>58</v>
      </c>
      <c r="B19" s="4" t="s">
        <v>54</v>
      </c>
      <c r="C19" t="s">
        <v>59</v>
      </c>
    </row>
    <row r="20" spans="1:3" x14ac:dyDescent="0.25">
      <c r="A20" t="s">
        <v>60</v>
      </c>
      <c r="B20" s="4" t="s">
        <v>54</v>
      </c>
      <c r="C20" t="s">
        <v>61</v>
      </c>
    </row>
    <row r="21" spans="1:3" x14ac:dyDescent="0.25">
      <c r="A21" t="s">
        <v>62</v>
      </c>
      <c r="B21">
        <v>4</v>
      </c>
      <c r="C21" t="s">
        <v>63</v>
      </c>
    </row>
    <row r="22" spans="1:3" x14ac:dyDescent="0.25">
      <c r="A22" t="s">
        <v>64</v>
      </c>
      <c r="B22">
        <v>16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6" customWidth="1"/>
    <col min="3" max="3" width="10" customWidth="1"/>
    <col min="4" max="4" width="14" customWidth="1"/>
    <col min="5" max="5" width="8" customWidth="1"/>
    <col min="6" max="6" width="13" customWidth="1"/>
    <col min="7" max="7" width="40" customWidth="1"/>
  </cols>
  <sheetData>
    <row r="1" spans="1:7" x14ac:dyDescent="0.25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17</v>
      </c>
    </row>
    <row r="2" spans="1:6" x14ac:dyDescent="0.25">
      <c r="A2" t="s">
        <v>75</v>
      </c>
      <c r="B2" t="s">
        <v>76</v>
      </c>
      <c r="C2" t="s">
        <v>77</v>
      </c>
      <c r="D2" t="s">
        <v>78</v>
      </c>
      <c r="E2">
        <v>1</v>
      </c>
      <c r="F2">
        <v>12</v>
      </c>
    </row>
    <row r="3" spans="1:6" x14ac:dyDescent="0.25">
      <c r="A3" t="s">
        <v>79</v>
      </c>
      <c r="B3" t="s">
        <v>80</v>
      </c>
      <c r="C3" t="s">
        <v>77</v>
      </c>
      <c r="D3" t="s">
        <v>81</v>
      </c>
      <c r="E3">
        <v>1</v>
      </c>
      <c r="F3">
        <v>12</v>
      </c>
    </row>
    <row r="4" spans="1:7" x14ac:dyDescent="0.25">
      <c r="A4" t="s">
        <v>82</v>
      </c>
      <c r="B4" t="s">
        <v>83</v>
      </c>
      <c r="C4" t="s">
        <v>77</v>
      </c>
      <c r="D4" t="s">
        <v>78</v>
      </c>
      <c r="E4">
        <v>1</v>
      </c>
      <c r="F4">
        <v>12</v>
      </c>
      <c r="G4" t="s">
        <v>84</v>
      </c>
    </row>
    <row r="5" spans="1:7" x14ac:dyDescent="0.25">
      <c r="A5" t="s">
        <v>85</v>
      </c>
      <c r="B5" t="s">
        <v>86</v>
      </c>
      <c r="C5" t="s">
        <v>77</v>
      </c>
      <c r="D5" t="s">
        <v>87</v>
      </c>
      <c r="E5">
        <v>1</v>
      </c>
      <c r="F5">
        <v>6</v>
      </c>
      <c r="G5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40" customWidth="1"/>
    <col min="4" max="12" width="12" style="5" customWidth="1"/>
    <col min="13" max="13" width="34" customWidth="1"/>
  </cols>
  <sheetData>
    <row r="1" spans="1:13" x14ac:dyDescent="0.25">
      <c r="A1" s="3" t="s">
        <v>69</v>
      </c>
      <c r="B1" s="3" t="s">
        <v>89</v>
      </c>
      <c r="C1" s="3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99</v>
      </c>
      <c r="M1" s="3" t="s">
        <v>18</v>
      </c>
    </row>
    <row r="2" spans="1:13" x14ac:dyDescent="0.25">
      <c r="A2" t="s">
        <v>75</v>
      </c>
      <c r="B2">
        <v>2024</v>
      </c>
      <c r="C2" t="s">
        <v>100</v>
      </c>
      <c r="D2" s="5">
        <v>37553.65</v>
      </c>
      <c r="E2" s="5">
        <v>55049.06</v>
      </c>
      <c r="F2" s="5">
        <v>18459.55</v>
      </c>
      <c r="G2" s="5">
        <v>18874.66</v>
      </c>
      <c r="H2" s="5">
        <v>3471.22</v>
      </c>
      <c r="I2" s="5">
        <v>61823.89</v>
      </c>
      <c r="J2" s="5">
        <v>11599.65</v>
      </c>
      <c r="K2" s="5">
        <v>279.42</v>
      </c>
      <c r="L2" s="5">
        <v>120799.42</v>
      </c>
      <c r="M2" t="s">
        <v>101</v>
      </c>
    </row>
    <row r="3" spans="1:13" x14ac:dyDescent="0.25">
      <c r="A3" t="s">
        <v>79</v>
      </c>
      <c r="B3">
        <v>2024</v>
      </c>
      <c r="C3" t="s">
        <v>100</v>
      </c>
      <c r="D3" s="5">
        <v>25066.73</v>
      </c>
      <c r="E3" s="5">
        <v>33439.41</v>
      </c>
      <c r="F3" s="5">
        <v>8657.14</v>
      </c>
      <c r="G3" s="5">
        <v>9002.31</v>
      </c>
      <c r="H3" s="5">
        <v>9217.8</v>
      </c>
      <c r="I3" s="5">
        <v>32164.26</v>
      </c>
      <c r="J3" s="5">
        <v>5647.36</v>
      </c>
      <c r="K3" s="5">
        <v>27.45</v>
      </c>
      <c r="L3" s="5">
        <v>60280.43</v>
      </c>
      <c r="M3" t="s">
        <v>101</v>
      </c>
    </row>
    <row r="4" spans="1:13" x14ac:dyDescent="0.25">
      <c r="A4" t="s">
        <v>82</v>
      </c>
      <c r="B4">
        <v>2024</v>
      </c>
      <c r="C4" t="s">
        <v>100</v>
      </c>
      <c r="D4" s="5">
        <v>2114.93</v>
      </c>
      <c r="E4" s="5">
        <v>2686.67</v>
      </c>
      <c r="F4" s="5">
        <v>377.61</v>
      </c>
      <c r="G4" s="5">
        <v>381.49</v>
      </c>
      <c r="H4" s="5">
        <v>239.13</v>
      </c>
      <c r="I4" s="5">
        <v>2919.37</v>
      </c>
      <c r="J4" s="5">
        <v>252.06</v>
      </c>
      <c r="K4" s="5">
        <v>1.73</v>
      </c>
      <c r="L4" s="5">
        <v>2926</v>
      </c>
      <c r="M4" t="s">
        <v>101</v>
      </c>
    </row>
    <row r="5" spans="1:13" x14ac:dyDescent="0.25">
      <c r="A5" t="s">
        <v>85</v>
      </c>
      <c r="B5">
        <v>2024</v>
      </c>
      <c r="C5" t="s">
        <v>102</v>
      </c>
      <c r="D5" s="5">
        <v>23751.78</v>
      </c>
      <c r="E5" s="5">
        <v>34078.29</v>
      </c>
      <c r="F5" s="5">
        <v>19399.73</v>
      </c>
      <c r="G5" s="5">
        <v>22934.26</v>
      </c>
      <c r="H5" s="5">
        <v>1133.02</v>
      </c>
      <c r="I5" s="5">
        <v>29062.17</v>
      </c>
      <c r="J5" s="5">
        <v>907.86</v>
      </c>
      <c r="K5" s="5">
        <v>1724.69</v>
      </c>
      <c r="L5" s="5">
        <v>18808.11</v>
      </c>
      <c r="M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7" customWidth="1"/>
    <col min="3" max="3" width="11" customWidth="1"/>
    <col min="4" max="8" width="14" style="7" customWidth="1"/>
    <col min="9" max="10" width="14" style="8" customWidth="1"/>
    <col min="11" max="11" width="10" customWidth="1"/>
    <col min="12" max="12" width="14" style="8" customWidth="1"/>
  </cols>
  <sheetData>
    <row r="1" spans="1:12" x14ac:dyDescent="0.25">
      <c r="A1" s="3" t="s">
        <v>69</v>
      </c>
      <c r="B1" s="3" t="s">
        <v>103</v>
      </c>
      <c r="C1" s="3" t="s">
        <v>89</v>
      </c>
      <c r="D1" s="9" t="s">
        <v>104</v>
      </c>
      <c r="E1" s="9" t="s">
        <v>105</v>
      </c>
      <c r="F1" s="9" t="s">
        <v>106</v>
      </c>
      <c r="G1" s="9" t="s">
        <v>107</v>
      </c>
      <c r="H1" s="9" t="s">
        <v>108</v>
      </c>
      <c r="I1" s="10" t="s">
        <v>109</v>
      </c>
      <c r="J1" s="10" t="s">
        <v>110</v>
      </c>
      <c r="K1" s="3" t="s">
        <v>111</v>
      </c>
      <c r="L1" s="10" t="s">
        <v>112</v>
      </c>
    </row>
    <row r="2" spans="1:12" x14ac:dyDescent="0.25">
      <c r="A2" t="s">
        <v>75</v>
      </c>
      <c r="B2" t="s">
        <v>113</v>
      </c>
      <c r="C2">
        <v>2024</v>
      </c>
      <c r="D2" s="11">
        <f>(INDEX(Financials!$D:$D,MATCH($A2,Financials!$A:$A,0))-INDEX(Financials!$F:$F,MATCH($A2,Financials!$A:$A,0)))/INDEX(Financials!$E:$E,MATCH($A2,Financials!$A:$A,0))</f>
        <v>0.34685605894087934</v>
      </c>
      <c r="E2" s="11">
        <f>INDEX(Financials!$H:$H,MATCH($A2,Financials!$A:$A,0))/INDEX(Financials!$E:$E,MATCH($A2,Financials!$A:$A,0))</f>
        <v>0.06305684420406088</v>
      </c>
      <c r="F2" s="11">
        <f>(INDEX(Financials!$J:$J,MATCH($A2,Financials!$A:$A,0))+INDEX(Financials!$K:$K,MATCH($A2,Financials!$A:$A,0)))/INDEX(Financials!$E:$E,MATCH($A2,Financials!$A:$A,0))</f>
        <v>0.2157906056888165</v>
      </c>
      <c r="G2" s="11">
        <f>INDEX(Financials!$L:$L,MATCH($A2,Financials!$A:$A,0))/INDEX(Financials!$G:$G,MATCH($A2,Financials!$A:$A,0))</f>
        <v>6.4000845578145515</v>
      </c>
      <c r="H2" s="11">
        <f>INDEX(Financials!$I:$I,MATCH($A2,Financials!$A:$A,0))/INDEX(Financials!$E:$E,MATCH($A2,Financials!$A:$A,0))</f>
        <v>1.123068949769533</v>
      </c>
      <c r="I2" s="12">
        <f>1.2*D2+1.4*E2+3.3*F2+0.6*G2+1*H2</f>
        <v>6.179735535846099</v>
      </c>
      <c r="J2" s="8">
        <v>6.18</v>
      </c>
      <c r="K2" s="13" t="str">
        <f>IF(I2&gt;INDEX(Params!$B:$B,MATCH("z_safe",Params!$A:$A,0)),"safe",IF(I2&gt;=INDEX(Params!$B:$B,MATCH("z_distress",Params!$A:$A,0)),"grey","distress"))</f>
        <v>safe</v>
      </c>
      <c r="L2" s="8">
        <v>0.1</v>
      </c>
    </row>
    <row r="3" spans="1:12" x14ac:dyDescent="0.25">
      <c r="A3" t="s">
        <v>79</v>
      </c>
      <c r="B3" t="s">
        <v>113</v>
      </c>
      <c r="C3">
        <v>2024</v>
      </c>
      <c r="D3" s="11">
        <f>(INDEX(Financials!$D:$D,MATCH($A3,Financials!$A:$A,0))-INDEX(Financials!$F:$F,MATCH($A3,Financials!$A:$A,0)))/INDEX(Financials!$E:$E,MATCH($A3,Financials!$A:$A,0))</f>
        <v>0.49072606245146067</v>
      </c>
      <c r="E3" s="11">
        <f>INDEX(Financials!$H:$H,MATCH($A3,Financials!$A:$A,0))/INDEX(Financials!$E:$E,MATCH($A3,Financials!$A:$A,0))</f>
        <v>0.27565677743716166</v>
      </c>
      <c r="F3" s="11">
        <f>(INDEX(Financials!$J:$J,MATCH($A3,Financials!$A:$A,0))+INDEX(Financials!$K:$K,MATCH($A3,Financials!$A:$A,0)))/INDEX(Financials!$E:$E,MATCH($A3,Financials!$A:$A,0))</f>
        <v>0.16970425016470084</v>
      </c>
      <c r="G3" s="11">
        <f>INDEX(Financials!$L:$L,MATCH($A3,Financials!$A:$A,0))/INDEX(Financials!$G:$G,MATCH($A3,Financials!$A:$A,0))</f>
        <v>6.696106888120938</v>
      </c>
      <c r="H3" s="11">
        <f>INDEX(Financials!$I:$I,MATCH($A3,Financials!$A:$A,0))/INDEX(Financials!$E:$E,MATCH($A3,Financials!$A:$A,0))</f>
        <v>0.9618668511196817</v>
      </c>
      <c r="I3" s="12">
        <f>1.2*D3+1.4*E3+3.3*F3+0.6*G3+1*H3</f>
        <v>6.514345772889536</v>
      </c>
      <c r="J3" s="8">
        <v>6.51</v>
      </c>
      <c r="K3" s="13" t="str">
        <f>IF(I3&gt;INDEX(Params!$B:$B,MATCH("z_safe",Params!$A:$A,0)),"safe",IF(I3&gt;=INDEX(Params!$B:$B,MATCH("z_distress",Params!$A:$A,0)),"grey","distress"))</f>
        <v>safe</v>
      </c>
      <c r="L3" s="8">
        <v>0.1</v>
      </c>
    </row>
    <row r="4" spans="1:12" x14ac:dyDescent="0.25">
      <c r="A4" t="s">
        <v>82</v>
      </c>
      <c r="B4" t="s">
        <v>113</v>
      </c>
      <c r="C4">
        <v>2024</v>
      </c>
      <c r="D4" s="11">
        <f>(INDEX(Financials!$D:$D,MATCH($A4,Financials!$A:$A,0))-INDEX(Financials!$F:$F,MATCH($A4,Financials!$A:$A,0)))/INDEX(Financials!$E:$E,MATCH($A4,Financials!$A:$A,0))</f>
        <v>0.6466443590020359</v>
      </c>
      <c r="E4" s="11">
        <f>INDEX(Financials!$H:$H,MATCH($A4,Financials!$A:$A,0))/INDEX(Financials!$E:$E,MATCH($A4,Financials!$A:$A,0))</f>
        <v>0.08900609304454957</v>
      </c>
      <c r="F4" s="11">
        <f>(INDEX(Financials!$J:$J,MATCH($A4,Financials!$A:$A,0))+INDEX(Financials!$K:$K,MATCH($A4,Financials!$A:$A,0)))/INDEX(Financials!$E:$E,MATCH($A4,Financials!$A:$A,0))</f>
        <v>0.09446266195699508</v>
      </c>
      <c r="G4" s="11">
        <f>INDEX(Financials!$L:$L,MATCH($A4,Financials!$A:$A,0))/INDEX(Financials!$G:$G,MATCH($A4,Financials!$A:$A,0))</f>
        <v>7.66992581719049</v>
      </c>
      <c r="H4" s="11">
        <f>INDEX(Financials!$I:$I,MATCH($A4,Financials!$A:$A,0))/INDEX(Financials!$E:$E,MATCH($A4,Financials!$A:$A,0))</f>
        <v>1.086612795765762</v>
      </c>
      <c r="I4" s="12">
        <f>1.2*D4+1.4*E4+3.3*F4+0.6*G4+1*H4</f>
        <v>6.900876831602952</v>
      </c>
      <c r="J4" s="8">
        <v>6.9</v>
      </c>
      <c r="K4" s="13" t="str">
        <f>IF(I4&gt;INDEX(Params!$B:$B,MATCH("z_safe",Params!$A:$A,0)),"safe",IF(I4&gt;=INDEX(Params!$B:$B,MATCH("z_distress",Params!$A:$A,0)),"grey","distress"))</f>
        <v>safe</v>
      </c>
      <c r="L4" s="8">
        <v>0.1</v>
      </c>
    </row>
    <row r="5" spans="1:12" x14ac:dyDescent="0.25">
      <c r="A5" t="s">
        <v>85</v>
      </c>
      <c r="B5" t="s">
        <v>113</v>
      </c>
      <c r="C5">
        <v>2024</v>
      </c>
      <c r="D5" s="11">
        <f>(INDEX(Financials!$D:$D,MATCH($A5,Financials!$A:$A,0))-INDEX(Financials!$F:$F,MATCH($A5,Financials!$A:$A,0)))/INDEX(Financials!$E:$E,MATCH($A5,Financials!$A:$A,0))</f>
        <v>0.12770740550655563</v>
      </c>
      <c r="E5" s="11">
        <f>INDEX(Financials!$H:$H,MATCH($A5,Financials!$A:$A,0))/INDEX(Financials!$E:$E,MATCH($A5,Financials!$A:$A,0))</f>
        <v>0.03324756025023556</v>
      </c>
      <c r="F5" s="11">
        <f>(INDEX(Financials!$J:$J,MATCH($A5,Financials!$A:$A,0))+INDEX(Financials!$K:$K,MATCH($A5,Financials!$A:$A,0)))/INDEX(Financials!$E:$E,MATCH($A5,Financials!$A:$A,0))</f>
        <v>0.07725006154944981</v>
      </c>
      <c r="G5" s="11">
        <f>INDEX(Financials!$L:$L,MATCH($A5,Financials!$A:$A,0))/INDEX(Financials!$G:$G,MATCH($A5,Financials!$A:$A,0))</f>
        <v>0.8200879383071441</v>
      </c>
      <c r="H5" s="11">
        <f>INDEX(Financials!$I:$I,MATCH($A5,Financials!$A:$A,0))/INDEX(Financials!$E:$E,MATCH($A5,Financials!$A:$A,0))</f>
        <v>0.8528059946669858</v>
      </c>
      <c r="I5" s="12">
        <f>1.2*D5+1.4*E5+3.3*F5+0.6*G5+1*H5</f>
        <v>1.7995794317226532</v>
      </c>
      <c r="J5" s="8">
        <v>1.8</v>
      </c>
      <c r="K5" s="13" t="str">
        <f>IF(I5&gt;INDEX(Params!$B:$B,MATCH("z_safe",Params!$A:$A,0)),"safe",IF(I5&gt;=INDEX(Params!$B:$B,MATCH("z_distress",Params!$A:$A,0)),"grey","distress"))</f>
        <v>distress</v>
      </c>
      <c r="L5" s="8">
        <v>0.7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style="14" customWidth="1"/>
    <col min="3" max="4" width="14" style="8" customWidth="1"/>
    <col min="5" max="6" width="14" style="15" customWidth="1"/>
    <col min="7" max="7" width="36" customWidth="1"/>
  </cols>
  <sheetData>
    <row r="1" spans="1:7" x14ac:dyDescent="0.25">
      <c r="A1" s="3" t="s">
        <v>69</v>
      </c>
      <c r="B1" s="16" t="s">
        <v>56</v>
      </c>
      <c r="C1" s="10" t="s">
        <v>114</v>
      </c>
      <c r="D1" s="10" t="s">
        <v>115</v>
      </c>
      <c r="E1" s="17" t="s">
        <v>116</v>
      </c>
      <c r="F1" s="17" t="s">
        <v>117</v>
      </c>
      <c r="G1" s="3" t="s">
        <v>18</v>
      </c>
    </row>
    <row r="2" spans="1:7" x14ac:dyDescent="0.25">
      <c r="A2" t="s">
        <v>75</v>
      </c>
      <c r="B2" s="14">
        <v>0.59</v>
      </c>
      <c r="C2" s="8">
        <v>58.21</v>
      </c>
      <c r="D2" s="8">
        <v>61.2</v>
      </c>
      <c r="E2" s="18">
        <f>INDEX(Params!$B:$B,MATCH("rf",Params!$A:$A,0))+B2*INDEX(Params!$B:$B,MATCH("erp",Params!$A:$A,0))</f>
        <v>0.076965</v>
      </c>
      <c r="F2" s="18">
        <f>D2/C2-1</f>
        <v>0.05136574471740252</v>
      </c>
      <c r="G2" t="s">
        <v>118</v>
      </c>
    </row>
    <row r="3" spans="1:7" x14ac:dyDescent="0.25">
      <c r="A3" t="s">
        <v>79</v>
      </c>
      <c r="B3" s="14">
        <v>0.86</v>
      </c>
      <c r="C3" s="8">
        <v>50.16</v>
      </c>
      <c r="D3" s="8">
        <v>47</v>
      </c>
      <c r="E3" s="18">
        <f>INDEX(Params!$B:$B,MATCH("rf",Params!$A:$A,0))+B3*INDEX(Params!$B:$B,MATCH("erp",Params!$A:$A,0))</f>
        <v>0.09951</v>
      </c>
      <c r="F3" s="18">
        <f>D3/C3-1</f>
        <v>-0.06299840510366816</v>
      </c>
      <c r="G3" t="s">
        <v>118</v>
      </c>
    </row>
    <row r="4" spans="1:7" x14ac:dyDescent="0.25">
      <c r="A4" t="s">
        <v>82</v>
      </c>
      <c r="B4" s="14">
        <v>0.72</v>
      </c>
      <c r="C4" s="8">
        <v>32.09</v>
      </c>
      <c r="D4" s="8">
        <v>26.35</v>
      </c>
      <c r="E4" s="18">
        <f>INDEX(Params!$B:$B,MATCH("rf",Params!$A:$A,0))+B4*INDEX(Params!$B:$B,MATCH("erp",Params!$A:$A,0))</f>
        <v>0.08782</v>
      </c>
      <c r="F4" s="18">
        <f>D4/C4-1</f>
        <v>-0.17887192271735752</v>
      </c>
      <c r="G4" t="s">
        <v>118</v>
      </c>
    </row>
    <row r="5" spans="1:7" x14ac:dyDescent="0.25">
      <c r="A5" t="s">
        <v>85</v>
      </c>
      <c r="B5" s="14">
        <v>0.761</v>
      </c>
      <c r="C5" s="8">
        <v>11.68</v>
      </c>
      <c r="D5" s="8">
        <v>25.1</v>
      </c>
      <c r="E5" s="18">
        <f>INDEX(Params!$B:$B,MATCH("rf",Params!$A:$A,0))+B5*INDEX(Params!$B:$B,MATCH("erp",Params!$A:$A,0))</f>
        <v>0.0912435</v>
      </c>
      <c r="F5" s="18">
        <f>D5/C5-1</f>
        <v>1.1489726027397262</v>
      </c>
      <c r="G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style="7" customWidth="1"/>
    <col min="3" max="7" width="12" customWidth="1"/>
    <col min="8" max="8" width="16" customWidth="1"/>
  </cols>
  <sheetData>
    <row r="1" spans="1:8" x14ac:dyDescent="0.25">
      <c r="A1" s="3" t="s">
        <v>69</v>
      </c>
      <c r="B1" s="9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</row>
    <row r="2" spans="1:8" x14ac:dyDescent="0.25">
      <c r="A2" t="s">
        <v>75</v>
      </c>
      <c r="B2" s="7">
        <v>0.5759</v>
      </c>
      <c r="C2" s="4" t="s">
        <v>54</v>
      </c>
      <c r="D2" s="4" t="s">
        <v>54</v>
      </c>
      <c r="E2" s="4" t="s">
        <v>54</v>
      </c>
      <c r="F2" s="4" t="s">
        <v>54</v>
      </c>
      <c r="G2" s="4" t="s">
        <v>54</v>
      </c>
      <c r="H2" s="4" t="s">
        <v>54</v>
      </c>
    </row>
    <row r="3" spans="1:8" x14ac:dyDescent="0.25">
      <c r="A3" t="s">
        <v>79</v>
      </c>
      <c r="B3" s="7">
        <v>0.5117</v>
      </c>
      <c r="C3" s="4" t="s">
        <v>54</v>
      </c>
      <c r="D3" s="4" t="s">
        <v>54</v>
      </c>
      <c r="E3" s="4" t="s">
        <v>54</v>
      </c>
      <c r="F3" s="4" t="s">
        <v>54</v>
      </c>
      <c r="G3" s="4" t="s">
        <v>54</v>
      </c>
      <c r="H3" s="4" t="s">
        <v>54</v>
      </c>
    </row>
    <row r="4" spans="1:8" x14ac:dyDescent="0.25">
      <c r="A4" t="s">
        <v>82</v>
      </c>
      <c r="B4" s="7">
        <v>0.2519</v>
      </c>
      <c r="C4" s="4" t="s">
        <v>54</v>
      </c>
      <c r="D4" s="4" t="s">
        <v>54</v>
      </c>
      <c r="E4" s="4" t="s">
        <v>54</v>
      </c>
      <c r="F4" s="4" t="s">
        <v>54</v>
      </c>
      <c r="G4" s="4" t="s">
        <v>54</v>
      </c>
      <c r="H4" t="s">
        <v>126</v>
      </c>
    </row>
    <row r="5" spans="1:8" x14ac:dyDescent="0.25">
      <c r="A5" t="s">
        <v>85</v>
      </c>
      <c r="B5" s="7">
        <v>0.5842</v>
      </c>
      <c r="C5" s="4" t="s">
        <v>54</v>
      </c>
      <c r="D5" s="4" t="s">
        <v>54</v>
      </c>
      <c r="E5" s="4" t="s">
        <v>54</v>
      </c>
      <c r="F5" s="4" t="s">
        <v>54</v>
      </c>
      <c r="G5" s="4" t="s">
        <v>54</v>
      </c>
      <c r="H5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0" customWidth="1"/>
    <col min="3" max="3" width="34" customWidth="1"/>
    <col min="4" max="4" width="50" customWidth="1"/>
    <col min="5" max="5" width="34" customWidth="1"/>
    <col min="6" max="6" width="50" customWidth="1"/>
    <col min="7" max="7" width="14" style="8" customWidth="1"/>
    <col min="8" max="8" width="34" customWidth="1"/>
  </cols>
  <sheetData>
    <row r="1" spans="1:8" x14ac:dyDescent="0.25">
      <c r="A1" s="3" t="s">
        <v>69</v>
      </c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10" t="s">
        <v>132</v>
      </c>
      <c r="H1" s="3" t="s">
        <v>133</v>
      </c>
    </row>
    <row r="2" spans="1:8" x14ac:dyDescent="0.25">
      <c r="A2" t="s">
        <v>82</v>
      </c>
      <c r="B2" s="4" t="s">
        <v>54</v>
      </c>
      <c r="C2" s="4" t="s">
        <v>54</v>
      </c>
      <c r="D2" t="s">
        <v>134</v>
      </c>
      <c r="E2" t="s">
        <v>135</v>
      </c>
      <c r="F2" t="s">
        <v>136</v>
      </c>
      <c r="G2" s="8">
        <v>0.78</v>
      </c>
      <c r="H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4" width="7" customWidth="1"/>
    <col min="5" max="5" width="13" customWidth="1"/>
    <col min="7" max="7" width="14" style="8" customWidth="1"/>
    <col min="8" max="8" width="46" customWidth="1"/>
    <col min="9" max="9" width="32" customWidth="1"/>
    <col min="10" max="10" width="50" customWidth="1"/>
    <col min="11" max="11" width="8" customWidth="1"/>
    <col min="12" max="12" width="50" customWidth="1"/>
  </cols>
  <sheetData>
    <row r="1" spans="1:12" x14ac:dyDescent="0.25">
      <c r="A1" s="3" t="s">
        <v>137</v>
      </c>
      <c r="B1" s="3" t="s">
        <v>69</v>
      </c>
      <c r="C1" s="3" t="s">
        <v>138</v>
      </c>
      <c r="D1" s="3" t="s">
        <v>139</v>
      </c>
      <c r="E1" s="3" t="s">
        <v>140</v>
      </c>
      <c r="F1" s="3" t="s">
        <v>141</v>
      </c>
      <c r="G1" s="10" t="s">
        <v>142</v>
      </c>
      <c r="H1" s="3" t="s">
        <v>143</v>
      </c>
      <c r="I1" s="3" t="s">
        <v>18</v>
      </c>
      <c r="J1" s="3" t="s">
        <v>144</v>
      </c>
      <c r="K1" s="3" t="s">
        <v>145</v>
      </c>
      <c r="L1" s="3" t="s">
        <v>17</v>
      </c>
    </row>
    <row r="2" spans="1:12" x14ac:dyDescent="0.25">
      <c r="A2" t="s">
        <v>146</v>
      </c>
      <c r="B2" t="s">
        <v>82</v>
      </c>
      <c r="C2">
        <v>2022</v>
      </c>
      <c r="D2" s="4" t="s">
        <v>54</v>
      </c>
      <c r="E2" t="s">
        <v>147</v>
      </c>
      <c r="F2">
        <v>2</v>
      </c>
      <c r="G2" s="8">
        <v>0.1</v>
      </c>
      <c r="H2" t="s">
        <v>148</v>
      </c>
      <c r="I2" t="s">
        <v>149</v>
      </c>
      <c r="J2" t="s">
        <v>136</v>
      </c>
      <c r="K2">
        <v>1</v>
      </c>
      <c r="L2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style="19" customWidth="1"/>
    <col min="4" max="5" width="14" style="15" customWidth="1"/>
  </cols>
  <sheetData>
    <row r="1" spans="1:5" x14ac:dyDescent="0.25">
      <c r="A1" s="3" t="s">
        <v>69</v>
      </c>
      <c r="B1" s="20" t="s">
        <v>151</v>
      </c>
      <c r="C1" s="20" t="s">
        <v>152</v>
      </c>
      <c r="D1" s="17" t="s">
        <v>116</v>
      </c>
      <c r="E1" s="17" t="s">
        <v>117</v>
      </c>
    </row>
    <row r="2" spans="1:5" x14ac:dyDescent="0.25">
      <c r="A2" t="s">
        <v>75</v>
      </c>
      <c r="B2" s="19">
        <v>0.509</v>
      </c>
      <c r="C2" s="19">
        <v>0.15</v>
      </c>
      <c r="D2" s="18">
        <f>INDEX(Market!$E:$E,MATCH($A2,Market!$A:$A,0))</f>
        <v>0.076965</v>
      </c>
      <c r="E2" s="18">
        <f>INDEX(Market!$F:$F,MATCH($A2,Market!$A:$A,0))</f>
        <v>0.05136574471740252</v>
      </c>
    </row>
    <row r="3" spans="1:5" x14ac:dyDescent="0.25">
      <c r="A3" t="s">
        <v>79</v>
      </c>
      <c r="B3" s="19">
        <v>0.191</v>
      </c>
      <c r="C3" s="19">
        <v>0.55</v>
      </c>
      <c r="D3" s="18">
        <f>INDEX(Market!$E:$E,MATCH($A3,Market!$A:$A,0))</f>
        <v>0.09951</v>
      </c>
      <c r="E3" s="18">
        <f>INDEX(Market!$F:$F,MATCH($A3,Market!$A:$A,0))</f>
        <v>-0.06299840510366816</v>
      </c>
    </row>
    <row r="4" spans="1:5" x14ac:dyDescent="0.25">
      <c r="A4" t="s">
        <v>82</v>
      </c>
      <c r="B4" s="19">
        <v>0.15</v>
      </c>
      <c r="C4" s="19">
        <v>0.15</v>
      </c>
      <c r="D4" s="18">
        <f>INDEX(Market!$E:$E,MATCH($A4,Market!$A:$A,0))</f>
        <v>0.08782</v>
      </c>
      <c r="E4" s="18">
        <f>INDEX(Market!$F:$F,MATCH($A4,Market!$A:$A,0))</f>
        <v>-0.17887192271735752</v>
      </c>
    </row>
    <row r="5" spans="1:5" x14ac:dyDescent="0.25">
      <c r="A5" t="s">
        <v>85</v>
      </c>
      <c r="B5" s="19">
        <v>0.15</v>
      </c>
      <c r="C5" s="19">
        <v>0.15</v>
      </c>
      <c r="D5" s="18">
        <f>INDEX(Market!$E:$E,MATCH($A5,Market!$A:$A,0))</f>
        <v>0.0912435</v>
      </c>
      <c r="E5" s="18">
        <f>INDEX(Market!$F:$F,MATCH($A5,Market!$A:$A,0))</f>
        <v>1.1489726027397262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style="15" customWidth="1"/>
    <col min="4" max="4" width="14" style="19" customWidth="1"/>
    <col min="5" max="6" width="14" style="15" customWidth="1"/>
  </cols>
  <sheetData>
    <row r="1" spans="1:6" x14ac:dyDescent="0.25">
      <c r="A1" s="3" t="s">
        <v>153</v>
      </c>
      <c r="B1" s="17" t="s">
        <v>116</v>
      </c>
      <c r="C1" s="17" t="s">
        <v>117</v>
      </c>
      <c r="D1" s="20" t="s">
        <v>154</v>
      </c>
      <c r="E1" s="17" t="s">
        <v>155</v>
      </c>
      <c r="F1" s="17" t="s">
        <v>156</v>
      </c>
    </row>
    <row r="2" spans="1:6" x14ac:dyDescent="0.25">
      <c r="A2" t="s">
        <v>157</v>
      </c>
      <c r="B2" s="18">
        <f>SUMPRODUCT(Portfolio!B2:B5,Portfolio!D2:D5)</f>
        <v>0.08504112000000001</v>
      </c>
      <c r="C2" s="18">
        <f>SUMPRODUCT(Portfolio!B2:B5,Portfolio!E2:E5)</f>
        <v>0.15962757068971256</v>
      </c>
      <c r="D2" s="21">
        <f>SUM(Portfolio!B2:B5)</f>
        <v>1</v>
      </c>
      <c r="E2" s="15">
        <v>0.085</v>
      </c>
      <c r="F2" s="15">
        <v>0.1596</v>
      </c>
    </row>
    <row r="3" spans="1:6" x14ac:dyDescent="0.25">
      <c r="A3" t="s">
        <v>158</v>
      </c>
      <c r="B3" s="18">
        <f>SUMPRODUCT(Portfolio!C2:C5,Portfolio!D2:D5)</f>
        <v>0.09313477500000002</v>
      </c>
      <c r="C3" s="18">
        <f>SUMPRODUCT(Portfolio!C2:C5,Portfolio!E2:E5)</f>
        <v>0.11857084090394819</v>
      </c>
      <c r="D3" s="21">
        <f>SUM(Portfolio!C2:C5)</f>
        <v>1</v>
      </c>
      <c r="E3" s="15">
        <v>0.0931</v>
      </c>
      <c r="F3" s="15">
        <v>0.1186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5" width="14" customWidth="1"/>
    <col min="6" max="9" width="14" style="19" customWidth="1"/>
    <col min="10" max="10" width="40" customWidth="1"/>
  </cols>
  <sheetData>
    <row r="1" spans="1:10" x14ac:dyDescent="0.25">
      <c r="A1" s="3" t="s">
        <v>159</v>
      </c>
      <c r="B1" s="3" t="s">
        <v>53</v>
      </c>
      <c r="C1" s="3" t="s">
        <v>56</v>
      </c>
      <c r="D1" s="3" t="s">
        <v>58</v>
      </c>
      <c r="E1" s="3" t="s">
        <v>60</v>
      </c>
      <c r="F1" s="20" t="s">
        <v>75</v>
      </c>
      <c r="G1" s="20" t="s">
        <v>79</v>
      </c>
      <c r="H1" s="20" t="s">
        <v>82</v>
      </c>
      <c r="I1" s="20" t="s">
        <v>85</v>
      </c>
      <c r="J1" s="3" t="s">
        <v>17</v>
      </c>
    </row>
    <row r="2" spans="1:10" x14ac:dyDescent="0.25">
      <c r="A2" t="s">
        <v>160</v>
      </c>
      <c r="B2">
        <v>1</v>
      </c>
      <c r="C2">
        <v>1</v>
      </c>
      <c r="D2">
        <v>0</v>
      </c>
      <c r="E2">
        <v>0</v>
      </c>
      <c r="F2" s="19">
        <v>0.15</v>
      </c>
      <c r="G2" s="19">
        <v>0.55</v>
      </c>
      <c r="H2" s="19">
        <v>0.15</v>
      </c>
      <c r="I2" s="19">
        <v>0.15</v>
      </c>
      <c r="J2" t="s">
        <v>161</v>
      </c>
    </row>
    <row r="3" spans="1:10" x14ac:dyDescent="0.25">
      <c r="A3" t="s">
        <v>162</v>
      </c>
      <c r="B3">
        <v>1</v>
      </c>
      <c r="C3">
        <v>1</v>
      </c>
      <c r="D3">
        <v>1</v>
      </c>
      <c r="E3">
        <v>1</v>
      </c>
      <c r="F3" s="19">
        <v>0.509</v>
      </c>
      <c r="G3" s="19">
        <v>0.191</v>
      </c>
      <c r="H3" s="19">
        <v>0.15</v>
      </c>
      <c r="I3" s="19">
        <v>0.15</v>
      </c>
      <c r="J3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FormatPr defaultRowHeight="15" outlineLevelRow="0" outlineLevelCol="0" x14ac:dyDescent="55"/>
  <sheetData>
    <row r="1" spans="1:1" x14ac:dyDescent="0.25">
      <c r="A1" s="22" t="s">
        <v>164</v>
      </c>
    </row>
    <row r="2" spans="2:17" x14ac:dyDescent="0.25"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  <c r="G2" s="2" t="s">
        <v>170</v>
      </c>
      <c r="H2" s="2" t="s">
        <v>171</v>
      </c>
      <c r="I2" s="2" t="s">
        <v>172</v>
      </c>
      <c r="J2" s="2" t="s">
        <v>173</v>
      </c>
      <c r="K2" s="2" t="s">
        <v>174</v>
      </c>
      <c r="L2" s="2" t="s">
        <v>175</v>
      </c>
      <c r="M2" s="2" t="s">
        <v>176</v>
      </c>
      <c r="N2" s="2" t="s">
        <v>177</v>
      </c>
      <c r="O2" s="2" t="s">
        <v>178</v>
      </c>
      <c r="P2" s="2" t="s">
        <v>179</v>
      </c>
      <c r="Q2" s="2" t="s">
        <v>180</v>
      </c>
    </row>
    <row r="3" spans="1:1" x14ac:dyDescent="0.25">
      <c r="A3" s="2" t="s">
        <v>165</v>
      </c>
    </row>
    <row r="4" spans="1:1" x14ac:dyDescent="0.25">
      <c r="A4" s="2" t="s">
        <v>166</v>
      </c>
    </row>
    <row r="5" spans="1:1" x14ac:dyDescent="0.25">
      <c r="A5" s="2" t="s">
        <v>167</v>
      </c>
    </row>
    <row r="6" spans="1:1" x14ac:dyDescent="0.25">
      <c r="A6" s="2" t="s">
        <v>168</v>
      </c>
    </row>
    <row r="7" spans="1:1" x14ac:dyDescent="0.25">
      <c r="A7" s="2" t="s">
        <v>169</v>
      </c>
    </row>
    <row r="8" spans="1:1" x14ac:dyDescent="0.25">
      <c r="A8" s="2" t="s">
        <v>170</v>
      </c>
    </row>
    <row r="9" spans="1:1" x14ac:dyDescent="0.25">
      <c r="A9" s="2" t="s">
        <v>171</v>
      </c>
    </row>
    <row r="10" spans="1:1" x14ac:dyDescent="0.25">
      <c r="A10" s="2" t="s">
        <v>172</v>
      </c>
    </row>
    <row r="11" spans="1:1" x14ac:dyDescent="0.25">
      <c r="A11" s="2" t="s">
        <v>173</v>
      </c>
    </row>
    <row r="12" spans="1:1" x14ac:dyDescent="0.25">
      <c r="A12" s="2" t="s">
        <v>174</v>
      </c>
    </row>
    <row r="13" spans="1:1" x14ac:dyDescent="0.25">
      <c r="A13" s="2" t="s">
        <v>175</v>
      </c>
    </row>
    <row r="14" spans="1:1" x14ac:dyDescent="0.25">
      <c r="A14" s="2" t="s">
        <v>176</v>
      </c>
    </row>
    <row r="15" spans="1:1" x14ac:dyDescent="0.25">
      <c r="A15" s="2" t="s">
        <v>177</v>
      </c>
    </row>
    <row r="16" spans="1:1" x14ac:dyDescent="0.25">
      <c r="A16" s="2" t="s">
        <v>178</v>
      </c>
    </row>
    <row r="17" spans="1:1" x14ac:dyDescent="0.25">
      <c r="A17" s="2" t="s">
        <v>179</v>
      </c>
    </row>
    <row r="18" spans="1:1" x14ac:dyDescent="0.25">
      <c r="A18" s="2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3" width="60" customWidth="1"/>
  </cols>
  <sheetData>
    <row r="1" spans="1:3" x14ac:dyDescent="0.25">
      <c r="A1" s="3" t="s">
        <v>15</v>
      </c>
      <c r="B1" s="3" t="s">
        <v>16</v>
      </c>
      <c r="C1" s="3" t="s">
        <v>17</v>
      </c>
    </row>
    <row r="2" spans="1:3" x14ac:dyDescent="0.25">
      <c r="A2" t="s">
        <v>181</v>
      </c>
      <c r="B2" t="s">
        <v>182</v>
      </c>
      <c r="C2" t="s">
        <v>183</v>
      </c>
    </row>
    <row r="3" spans="1:2" x14ac:dyDescent="0.25">
      <c r="A3" t="s">
        <v>72</v>
      </c>
      <c r="B3" t="s">
        <v>78</v>
      </c>
    </row>
    <row r="4" spans="1:2" x14ac:dyDescent="0.25">
      <c r="A4" t="s">
        <v>89</v>
      </c>
      <c r="B4">
        <v>2024</v>
      </c>
    </row>
    <row r="5" spans="1:3" x14ac:dyDescent="0.25">
      <c r="A5" t="s">
        <v>184</v>
      </c>
      <c r="B5" t="s">
        <v>185</v>
      </c>
      <c r="C5" t="s">
        <v>186</v>
      </c>
    </row>
    <row r="6" spans="1:3" x14ac:dyDescent="0.25">
      <c r="A6" t="s">
        <v>104</v>
      </c>
      <c r="B6" s="4" t="s">
        <v>54</v>
      </c>
      <c r="C6" t="s">
        <v>187</v>
      </c>
    </row>
    <row r="7" spans="1:3" x14ac:dyDescent="0.25">
      <c r="A7" t="s">
        <v>105</v>
      </c>
      <c r="B7" s="4" t="s">
        <v>54</v>
      </c>
      <c r="C7" t="s">
        <v>187</v>
      </c>
    </row>
    <row r="8" spans="1:3" x14ac:dyDescent="0.25">
      <c r="A8" t="s">
        <v>106</v>
      </c>
      <c r="B8" s="4" t="s">
        <v>54</v>
      </c>
      <c r="C8" t="s">
        <v>187</v>
      </c>
    </row>
    <row r="9" spans="1:3" x14ac:dyDescent="0.25">
      <c r="A9" t="s">
        <v>107</v>
      </c>
      <c r="B9" s="4" t="s">
        <v>54</v>
      </c>
      <c r="C9" t="s">
        <v>187</v>
      </c>
    </row>
    <row r="10" spans="1:3" x14ac:dyDescent="0.25">
      <c r="A10" t="s">
        <v>108</v>
      </c>
      <c r="B10" s="4" t="s">
        <v>54</v>
      </c>
      <c r="C10" t="s">
        <v>187</v>
      </c>
    </row>
    <row r="11" spans="1:2" x14ac:dyDescent="0.25">
      <c r="A11" t="s">
        <v>109</v>
      </c>
      <c r="B11" s="4" t="s">
        <v>54</v>
      </c>
    </row>
    <row r="12" spans="1:3" x14ac:dyDescent="0.25">
      <c r="A12" t="s">
        <v>111</v>
      </c>
      <c r="B12" s="4" t="s">
        <v>54</v>
      </c>
      <c r="C12" t="s">
        <v>188</v>
      </c>
    </row>
    <row r="13" spans="1:2" x14ac:dyDescent="0.25">
      <c r="A13" t="s">
        <v>112</v>
      </c>
      <c r="B13" s="4" t="s">
        <v>54</v>
      </c>
    </row>
    <row r="14" spans="1:3" x14ac:dyDescent="0.25">
      <c r="A14" t="s">
        <v>119</v>
      </c>
      <c r="B14" s="4" t="s">
        <v>54</v>
      </c>
      <c r="C14" t="s">
        <v>189</v>
      </c>
    </row>
    <row r="15" spans="1:2" x14ac:dyDescent="0.25">
      <c r="A15" t="s">
        <v>120</v>
      </c>
      <c r="B15" s="4" t="s">
        <v>54</v>
      </c>
    </row>
    <row r="16" spans="1:2" x14ac:dyDescent="0.25">
      <c r="A16" t="s">
        <v>121</v>
      </c>
      <c r="B16" s="4" t="s">
        <v>54</v>
      </c>
    </row>
    <row r="17" spans="1:2" x14ac:dyDescent="0.25">
      <c r="A17" t="s">
        <v>122</v>
      </c>
      <c r="B17" s="4" t="s">
        <v>54</v>
      </c>
    </row>
    <row r="18" spans="1:2" x14ac:dyDescent="0.25">
      <c r="A18" t="s">
        <v>123</v>
      </c>
      <c r="B18" s="4" t="s">
        <v>54</v>
      </c>
    </row>
    <row r="19" spans="1:2" x14ac:dyDescent="0.25">
      <c r="A19" t="s">
        <v>124</v>
      </c>
      <c r="B19" s="4" t="s">
        <v>54</v>
      </c>
    </row>
    <row r="20" spans="1:2" x14ac:dyDescent="0.25">
      <c r="A20" t="s">
        <v>125</v>
      </c>
      <c r="B20" s="4" t="s">
        <v>54</v>
      </c>
    </row>
    <row r="21" spans="1:3" x14ac:dyDescent="0.25">
      <c r="A21" t="s">
        <v>190</v>
      </c>
      <c r="B21" s="4" t="s">
        <v>54</v>
      </c>
      <c r="C2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0" customWidth="1"/>
    <col min="3" max="3" width="6" customWidth="1"/>
    <col min="4" max="5" width="5" customWidth="1"/>
    <col min="6" max="10" width="12" customWidth="1"/>
  </cols>
  <sheetData>
    <row r="1" spans="1:10" x14ac:dyDescent="0.25">
      <c r="A1" s="3" t="s">
        <v>192</v>
      </c>
      <c r="B1" s="3" t="s">
        <v>70</v>
      </c>
      <c r="C1" s="3" t="s">
        <v>140</v>
      </c>
      <c r="D1" s="3" t="s">
        <v>193</v>
      </c>
      <c r="E1" s="3" t="s">
        <v>194</v>
      </c>
      <c r="F1" s="3" t="s">
        <v>75</v>
      </c>
      <c r="G1" s="3" t="s">
        <v>79</v>
      </c>
      <c r="H1" s="3" t="s">
        <v>82</v>
      </c>
      <c r="I1" s="3" t="s">
        <v>85</v>
      </c>
      <c r="J1" s="3" t="s">
        <v>195</v>
      </c>
    </row>
    <row r="2" spans="1:10" x14ac:dyDescent="0.25">
      <c r="A2" t="s">
        <v>196</v>
      </c>
      <c r="B2" t="s">
        <v>197</v>
      </c>
      <c r="C2" t="s">
        <v>198</v>
      </c>
      <c r="D2" t="s">
        <v>199</v>
      </c>
      <c r="E2">
        <v>0</v>
      </c>
      <c r="F2">
        <v>252175.374</v>
      </c>
      <c r="G2">
        <v>70888</v>
      </c>
      <c r="H2">
        <v>9548.93</v>
      </c>
      <c r="I2">
        <v>66687.7</v>
      </c>
      <c r="J2">
        <v>339425</v>
      </c>
    </row>
    <row r="3" spans="1:9" x14ac:dyDescent="0.25">
      <c r="A3" t="s">
        <v>200</v>
      </c>
      <c r="B3" t="s">
        <v>201</v>
      </c>
      <c r="C3" t="s">
        <v>198</v>
      </c>
      <c r="D3" t="s">
        <v>199</v>
      </c>
      <c r="E3">
        <v>1</v>
      </c>
      <c r="F3">
        <v>4.08</v>
      </c>
      <c r="G3">
        <v>2.224</v>
      </c>
      <c r="H3">
        <v>3.27</v>
      </c>
      <c r="I3">
        <v>2.34</v>
      </c>
    </row>
    <row r="4" spans="1:10" x14ac:dyDescent="0.25">
      <c r="A4" t="s">
        <v>202</v>
      </c>
      <c r="B4" t="s">
        <v>203</v>
      </c>
      <c r="C4" t="s">
        <v>204</v>
      </c>
      <c r="D4" t="s">
        <v>205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</row>
    <row r="5" spans="1:10" x14ac:dyDescent="0.25">
      <c r="A5" t="s">
        <v>206</v>
      </c>
      <c r="B5" t="s">
        <v>207</v>
      </c>
      <c r="C5" t="s">
        <v>204</v>
      </c>
      <c r="D5" t="s">
        <v>205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208</v>
      </c>
      <c r="B6" t="s">
        <v>209</v>
      </c>
      <c r="C6" t="s">
        <v>204</v>
      </c>
      <c r="D6" t="s">
        <v>205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</row>
    <row r="7" spans="1:10" x14ac:dyDescent="0.25">
      <c r="A7" t="s">
        <v>210</v>
      </c>
      <c r="B7" t="s">
        <v>211</v>
      </c>
      <c r="C7" t="s">
        <v>198</v>
      </c>
      <c r="D7" t="s">
        <v>199</v>
      </c>
      <c r="E7">
        <v>1</v>
      </c>
      <c r="F7">
        <v>4122231</v>
      </c>
      <c r="G7">
        <v>1311990</v>
      </c>
      <c r="I7">
        <v>5250693</v>
      </c>
      <c r="J7">
        <v>6394459</v>
      </c>
    </row>
    <row r="8" spans="1:10" x14ac:dyDescent="0.25">
      <c r="A8" t="s">
        <v>212</v>
      </c>
      <c r="B8" t="s">
        <v>213</v>
      </c>
      <c r="C8" t="s">
        <v>198</v>
      </c>
      <c r="D8" t="s">
        <v>205</v>
      </c>
      <c r="E8">
        <v>1</v>
      </c>
      <c r="F8">
        <v>34.4</v>
      </c>
      <c r="G8">
        <v>5.7</v>
      </c>
      <c r="I8">
        <v>33.18</v>
      </c>
      <c r="J8">
        <v>37.1</v>
      </c>
    </row>
    <row r="9" spans="1:10" x14ac:dyDescent="0.25">
      <c r="A9" t="s">
        <v>214</v>
      </c>
      <c r="B9" t="s">
        <v>215</v>
      </c>
      <c r="C9" t="s">
        <v>198</v>
      </c>
      <c r="D9" t="s">
        <v>199</v>
      </c>
      <c r="E9">
        <v>1</v>
      </c>
      <c r="F9">
        <v>2387796</v>
      </c>
      <c r="G9">
        <v>825554</v>
      </c>
      <c r="I9">
        <v>604680</v>
      </c>
      <c r="J9">
        <v>1020968</v>
      </c>
    </row>
    <row r="10" spans="1:10" x14ac:dyDescent="0.25">
      <c r="A10" t="s">
        <v>216</v>
      </c>
      <c r="B10" t="s">
        <v>217</v>
      </c>
      <c r="C10" t="s">
        <v>198</v>
      </c>
      <c r="D10" t="s">
        <v>205</v>
      </c>
      <c r="E10">
        <v>1</v>
      </c>
      <c r="F10">
        <v>33.03</v>
      </c>
      <c r="G10">
        <v>40.54</v>
      </c>
      <c r="I10">
        <v>91.04</v>
      </c>
      <c r="J10">
        <v>15.23</v>
      </c>
    </row>
    <row r="11" spans="1:10" x14ac:dyDescent="0.25">
      <c r="A11" t="s">
        <v>218</v>
      </c>
      <c r="B11" t="s">
        <v>219</v>
      </c>
      <c r="C11" t="s">
        <v>204</v>
      </c>
      <c r="D11" t="s">
        <v>205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x14ac:dyDescent="0.25">
      <c r="A12" t="s">
        <v>220</v>
      </c>
      <c r="B12" t="s">
        <v>221</v>
      </c>
      <c r="C12" t="s">
        <v>204</v>
      </c>
      <c r="D12" t="s">
        <v>205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25">
      <c r="A13" t="s">
        <v>222</v>
      </c>
      <c r="B13" t="s">
        <v>223</v>
      </c>
      <c r="C13" t="s">
        <v>204</v>
      </c>
      <c r="D13" t="s">
        <v>205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</row>
    <row r="14" spans="1:10" x14ac:dyDescent="0.25">
      <c r="A14" t="s">
        <v>224</v>
      </c>
      <c r="B14" t="s">
        <v>225</v>
      </c>
      <c r="C14" t="s">
        <v>198</v>
      </c>
      <c r="D14" t="s">
        <v>205</v>
      </c>
      <c r="E14">
        <v>0</v>
      </c>
      <c r="F14">
        <v>9225</v>
      </c>
      <c r="G14">
        <v>4118</v>
      </c>
      <c r="H14">
        <v>772</v>
      </c>
      <c r="I14">
        <v>2651</v>
      </c>
      <c r="J14">
        <v>10000</v>
      </c>
    </row>
    <row r="15" spans="1:10" x14ac:dyDescent="0.25">
      <c r="A15" t="s">
        <v>226</v>
      </c>
      <c r="B15" t="s">
        <v>227</v>
      </c>
      <c r="C15" t="s">
        <v>198</v>
      </c>
      <c r="D15" t="s">
        <v>205</v>
      </c>
      <c r="E15">
        <v>1</v>
      </c>
      <c r="F15">
        <v>26.5</v>
      </c>
      <c r="G15">
        <v>28.57</v>
      </c>
      <c r="H15">
        <v>0</v>
      </c>
      <c r="I15">
        <v>33.33</v>
      </c>
      <c r="J15">
        <v>31</v>
      </c>
    </row>
    <row r="16" spans="1:10" x14ac:dyDescent="0.25">
      <c r="A16" t="s">
        <v>228</v>
      </c>
      <c r="B16" t="s">
        <v>229</v>
      </c>
      <c r="C16" t="s">
        <v>198</v>
      </c>
      <c r="D16" t="s">
        <v>205</v>
      </c>
      <c r="E16">
        <v>1</v>
      </c>
      <c r="F16">
        <v>50.3</v>
      </c>
      <c r="G16">
        <v>12.1</v>
      </c>
      <c r="I16">
        <v>44.06</v>
      </c>
      <c r="J16">
        <v>33.4</v>
      </c>
    </row>
    <row r="17" spans="1:10" x14ac:dyDescent="0.25">
      <c r="A17" t="s">
        <v>230</v>
      </c>
      <c r="B17" t="s">
        <v>231</v>
      </c>
      <c r="C17" t="s">
        <v>204</v>
      </c>
      <c r="D17" t="s">
        <v>205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</row>
    <row r="18" spans="1:10" x14ac:dyDescent="0.25">
      <c r="A18" t="s">
        <v>232</v>
      </c>
      <c r="B18" t="s">
        <v>233</v>
      </c>
      <c r="C18" t="s">
        <v>204</v>
      </c>
      <c r="D18" t="s">
        <v>205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 x14ac:dyDescent="0.25">
      <c r="A19" t="s">
        <v>234</v>
      </c>
      <c r="B19" t="s">
        <v>235</v>
      </c>
      <c r="C19" t="s">
        <v>204</v>
      </c>
      <c r="D19" t="s">
        <v>205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</row>
    <row r="20" spans="1:10" x14ac:dyDescent="0.25">
      <c r="A20" t="s">
        <v>236</v>
      </c>
      <c r="B20" t="s">
        <v>237</v>
      </c>
      <c r="C20" t="s">
        <v>204</v>
      </c>
      <c r="D20" t="s">
        <v>205</v>
      </c>
      <c r="E20">
        <v>1</v>
      </c>
      <c r="F20">
        <v>1</v>
      </c>
      <c r="G20">
        <v>1</v>
      </c>
      <c r="H20">
        <v>0</v>
      </c>
      <c r="I20">
        <v>1</v>
      </c>
      <c r="J20">
        <v>0</v>
      </c>
    </row>
    <row r="21" spans="1:10" x14ac:dyDescent="0.25">
      <c r="A21" t="s">
        <v>238</v>
      </c>
      <c r="B21" t="s">
        <v>239</v>
      </c>
      <c r="C21" t="s">
        <v>204</v>
      </c>
      <c r="D21" t="s">
        <v>205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x14ac:dyDescent="0.25">
      <c r="A22" t="s">
        <v>240</v>
      </c>
      <c r="B22" t="s">
        <v>241</v>
      </c>
      <c r="C22" t="s">
        <v>198</v>
      </c>
      <c r="D22" t="s">
        <v>205</v>
      </c>
      <c r="E22">
        <v>1</v>
      </c>
      <c r="F22">
        <v>75</v>
      </c>
      <c r="G22">
        <v>42.11</v>
      </c>
      <c r="H22">
        <v>1.176</v>
      </c>
      <c r="I22">
        <v>11.65</v>
      </c>
      <c r="J22">
        <v>95.2</v>
      </c>
    </row>
    <row r="23" spans="1:10" x14ac:dyDescent="0.25">
      <c r="A23" t="s">
        <v>242</v>
      </c>
      <c r="B23" t="s">
        <v>243</v>
      </c>
      <c r="C23" t="s">
        <v>204</v>
      </c>
      <c r="D23" t="s">
        <v>205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25">
      <c r="A24" t="s">
        <v>244</v>
      </c>
      <c r="B24" t="s">
        <v>245</v>
      </c>
      <c r="C24" t="s">
        <v>204</v>
      </c>
      <c r="D24" t="s">
        <v>205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 t="s">
        <v>246</v>
      </c>
      <c r="B25" t="s">
        <v>247</v>
      </c>
      <c r="C25" t="s">
        <v>204</v>
      </c>
      <c r="D25" t="s">
        <v>205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 t="s">
        <v>248</v>
      </c>
      <c r="B26" t="s">
        <v>249</v>
      </c>
      <c r="C26" t="s">
        <v>204</v>
      </c>
      <c r="D26" t="s">
        <v>205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9" x14ac:dyDescent="0.25">
      <c r="A27" t="s">
        <v>250</v>
      </c>
      <c r="B27" t="s">
        <v>251</v>
      </c>
      <c r="C27" t="s">
        <v>198</v>
      </c>
      <c r="D27" t="s">
        <v>205</v>
      </c>
      <c r="E27">
        <v>1</v>
      </c>
      <c r="F27">
        <v>10</v>
      </c>
      <c r="G27">
        <v>7</v>
      </c>
      <c r="H27">
        <v>6</v>
      </c>
      <c r="I27">
        <v>8</v>
      </c>
    </row>
    <row r="28" spans="1:9" x14ac:dyDescent="0.25">
      <c r="A28" t="s">
        <v>252</v>
      </c>
      <c r="B28" t="s">
        <v>253</v>
      </c>
      <c r="C28" t="s">
        <v>198</v>
      </c>
      <c r="D28" t="s">
        <v>205</v>
      </c>
      <c r="E28">
        <v>1</v>
      </c>
      <c r="F28">
        <v>30</v>
      </c>
      <c r="G28">
        <v>28.57</v>
      </c>
      <c r="H28">
        <v>16.66</v>
      </c>
      <c r="I28">
        <v>25</v>
      </c>
    </row>
    <row r="29" spans="1:10" x14ac:dyDescent="0.25">
      <c r="A29" t="s">
        <v>254</v>
      </c>
      <c r="B29" t="s">
        <v>255</v>
      </c>
      <c r="C29" t="s">
        <v>204</v>
      </c>
      <c r="D29" t="s">
        <v>205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9" x14ac:dyDescent="0.25">
      <c r="A30" t="s">
        <v>256</v>
      </c>
      <c r="B30" t="s">
        <v>257</v>
      </c>
      <c r="C30" t="s">
        <v>198</v>
      </c>
      <c r="D30" t="s">
        <v>205</v>
      </c>
      <c r="E30">
        <v>1</v>
      </c>
      <c r="F30">
        <v>30</v>
      </c>
      <c r="G30">
        <v>28.57</v>
      </c>
      <c r="H30">
        <v>16.66</v>
      </c>
      <c r="I30">
        <v>37.5</v>
      </c>
    </row>
    <row r="31" spans="1:10" x14ac:dyDescent="0.25">
      <c r="A31" t="s">
        <v>258</v>
      </c>
      <c r="B31" t="s">
        <v>259</v>
      </c>
      <c r="C31" t="s">
        <v>204</v>
      </c>
      <c r="D31" t="s">
        <v>205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</row>
    <row r="32" spans="1:10" x14ac:dyDescent="0.25">
      <c r="A32" t="s">
        <v>260</v>
      </c>
      <c r="B32" t="s">
        <v>261</v>
      </c>
      <c r="C32" t="s">
        <v>204</v>
      </c>
      <c r="D32" t="s">
        <v>205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</row>
    <row r="33" spans="1:10" x14ac:dyDescent="0.25">
      <c r="A33" t="s">
        <v>262</v>
      </c>
      <c r="B33" t="s">
        <v>263</v>
      </c>
      <c r="C33" t="s">
        <v>204</v>
      </c>
      <c r="D33" t="s">
        <v>205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70" customWidth="1"/>
    <col min="4" max="4" width="90" customWidth="1"/>
    <col min="5" max="5" width="10" customWidth="1"/>
  </cols>
  <sheetData>
    <row r="1" spans="1:5" x14ac:dyDescent="0.25">
      <c r="A1" s="3" t="s">
        <v>137</v>
      </c>
      <c r="B1" s="3" t="s">
        <v>264</v>
      </c>
      <c r="C1" s="3" t="s">
        <v>265</v>
      </c>
      <c r="D1" s="3" t="s">
        <v>266</v>
      </c>
      <c r="E1" s="3" t="s">
        <v>267</v>
      </c>
    </row>
    <row r="2" spans="1:5" s="23" customFormat="1" x14ac:dyDescent="0.25">
      <c r="A2" s="23">
        <v>1</v>
      </c>
      <c r="B2" s="23" t="s">
        <v>268</v>
      </c>
      <c r="C2" s="23" t="s">
        <v>269</v>
      </c>
      <c r="D2" s="23" t="s">
        <v>270</v>
      </c>
      <c r="E2" s="24" t="s">
        <v>271</v>
      </c>
    </row>
    <row r="3" spans="1:5" s="23" customFormat="1" x14ac:dyDescent="0.25">
      <c r="A3" s="23">
        <v>2</v>
      </c>
      <c r="B3" s="23" t="s">
        <v>272</v>
      </c>
      <c r="C3" s="23" t="s">
        <v>273</v>
      </c>
      <c r="D3" s="23" t="s">
        <v>274</v>
      </c>
      <c r="E3" s="24" t="s">
        <v>271</v>
      </c>
    </row>
    <row r="4" spans="1:5" s="23" customFormat="1" x14ac:dyDescent="0.25">
      <c r="A4" s="23">
        <v>3</v>
      </c>
      <c r="B4" s="23" t="s">
        <v>275</v>
      </c>
      <c r="C4" s="23" t="s">
        <v>276</v>
      </c>
      <c r="D4" s="23" t="s">
        <v>277</v>
      </c>
      <c r="E4" s="24" t="s">
        <v>271</v>
      </c>
    </row>
    <row r="5" spans="1:5" s="23" customFormat="1" x14ac:dyDescent="0.25">
      <c r="A5" s="23">
        <v>4</v>
      </c>
      <c r="B5" s="23" t="s">
        <v>278</v>
      </c>
      <c r="C5" s="23" t="s">
        <v>279</v>
      </c>
      <c r="D5" s="23" t="s">
        <v>280</v>
      </c>
      <c r="E5" s="24" t="s">
        <v>271</v>
      </c>
    </row>
    <row r="6" spans="1:5" s="23" customFormat="1" x14ac:dyDescent="0.25">
      <c r="A6" s="23">
        <v>5</v>
      </c>
      <c r="B6" s="23" t="s">
        <v>281</v>
      </c>
      <c r="C6" s="23" t="s">
        <v>282</v>
      </c>
      <c r="D6" s="23" t="s">
        <v>283</v>
      </c>
      <c r="E6" s="24" t="s">
        <v>271</v>
      </c>
    </row>
    <row r="7" spans="1:5" s="23" customFormat="1" x14ac:dyDescent="0.25">
      <c r="A7" s="23">
        <v>6</v>
      </c>
      <c r="B7" s="23" t="s">
        <v>284</v>
      </c>
      <c r="C7" s="23" t="s">
        <v>285</v>
      </c>
      <c r="D7" s="23" t="s">
        <v>286</v>
      </c>
      <c r="E7" s="24" t="s">
        <v>271</v>
      </c>
    </row>
    <row r="8" spans="1:5" s="23" customFormat="1" x14ac:dyDescent="0.25">
      <c r="A8" s="23">
        <v>7</v>
      </c>
      <c r="B8" s="23" t="s">
        <v>287</v>
      </c>
      <c r="C8" s="23" t="s">
        <v>288</v>
      </c>
      <c r="D8" s="23" t="s">
        <v>289</v>
      </c>
      <c r="E8" s="25" t="s">
        <v>290</v>
      </c>
    </row>
    <row r="9" spans="1:5" s="23" customFormat="1" x14ac:dyDescent="0.25">
      <c r="A9" s="23">
        <v>8</v>
      </c>
      <c r="B9" s="23" t="s">
        <v>291</v>
      </c>
      <c r="C9" s="23" t="s">
        <v>292</v>
      </c>
      <c r="D9" s="23" t="s">
        <v>293</v>
      </c>
      <c r="E9" s="25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Params</vt:lpstr>
      <vt:lpstr>Companies</vt:lpstr>
      <vt:lpstr>Financials</vt:lpstr>
      <vt:lpstr>ZScore</vt:lpstr>
      <vt:lpstr>Market</vt:lpstr>
      <vt:lpstr>ESG</vt:lpstr>
      <vt:lpstr>ESG_Evidence</vt:lpstr>
      <vt:lpstr>OSINT</vt:lpstr>
      <vt:lpstr>Portfolio</vt:lpstr>
      <vt:lpstr>Portfolio_Summary</vt:lpstr>
      <vt:lpstr>Scenarios</vt:lpstr>
      <vt:lpstr>QUBO_Matrix</vt:lpstr>
      <vt:lpstr>Private_Sample</vt:lpstr>
      <vt:lpstr>ESG_ChiTieu</vt:lpstr>
      <vt:lpstr>Cho_xac_nhan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QuantumRegTech</dc:creator>
  <dc:title/>
  <dc:subject/>
  <dc:description/>
  <cp:keywords/>
  <cp:category/>
  <cp:lastModifiedBy>Unknown</cp:lastModifiedBy>
  <dcterms:created xsi:type="dcterms:W3CDTF">2026-09-26T16:52:12Z</dcterms:created>
  <dcterms:modified xsi:type="dcterms:W3CDTF">2026-09-26T16:52:12Z</dcterms:modified>
</cp:coreProperties>
</file>